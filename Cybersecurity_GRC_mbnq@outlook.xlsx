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Learn\GRC\"/>
    </mc:Choice>
  </mc:AlternateContent>
  <xr:revisionPtr revIDLastSave="0" documentId="13_ncr:1_{804F4557-1FF0-44EE-B8DC-1E2BD88A311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Cover" sheetId="1" r:id="rId1"/>
    <sheet name="Index" sheetId="2" r:id="rId2"/>
    <sheet name="Framework Library" sheetId="3" r:id="rId3"/>
    <sheet name="Regulatory Register" sheetId="4" r:id="rId4"/>
    <sheet name="Control Library" sheetId="5" r:id="rId5"/>
    <sheet name="Assessments" sheetId="6" r:id="rId6"/>
    <sheet name="Evidence Register" sheetId="7" r:id="rId7"/>
    <sheet name="Risk Register" sheetId="8" r:id="rId8"/>
    <sheet name="Risk Treatments" sheetId="9" r:id="rId9"/>
    <sheet name="Audit Findings" sheetId="10" r:id="rId10"/>
    <sheet name="Corrective Actions" sheetId="11" r:id="rId11"/>
    <sheet name="Compliance Exceptions" sheetId="12" r:id="rId12"/>
    <sheet name="Third Parties" sheetId="13" r:id="rId13"/>
    <sheet name="Privacy Governance" sheetId="14" r:id="rId14"/>
    <sheet name="Policies" sheetId="15" r:id="rId15"/>
    <sheet name="Incidents" sheetId="16" r:id="rId16"/>
    <sheet name="Business Continuity" sheetId="17" r:id="rId17"/>
    <sheet name="KPI Catalogue" sheetId="18" r:id="rId18"/>
    <sheet name="KPI Results" sheetId="19" r:id="rId19"/>
    <sheet name="Crosswalk" sheetId="20" r:id="rId20"/>
    <sheet name="Regulatory Review Queue" sheetId="21" r:id="rId21"/>
    <sheet name="Risk History" sheetId="22" r:id="rId22"/>
    <sheet name="Change Log" sheetId="23" r:id="rId23"/>
    <sheet name="QA Results" sheetId="24" r:id="rId24"/>
    <sheet name="Executive Dashboard" sheetId="26" r:id="rId25"/>
    <sheet name="Methodology" sheetId="27" r:id="rId26"/>
    <sheet name="Framework Navigator" sheetId="28" r:id="rId27"/>
    <sheet name="Compliance Analytics" sheetId="29" r:id="rId28"/>
    <sheet name="Risk Analytics" sheetId="30" r:id="rId29"/>
    <sheet name="Operations Analytics" sheetId="31" r:id="rId30"/>
    <sheet name="Live KPI Overview" sheetId="32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2" l="1"/>
  <c r="B12" i="32"/>
  <c r="B11" i="32"/>
  <c r="B10" i="32"/>
  <c r="B8" i="32"/>
  <c r="B7" i="32"/>
  <c r="B6" i="32"/>
  <c r="B5" i="32"/>
  <c r="B39" i="31"/>
  <c r="B38" i="31"/>
  <c r="B37" i="31"/>
  <c r="B36" i="31"/>
  <c r="B29" i="31"/>
  <c r="B28" i="31"/>
  <c r="B27" i="31"/>
  <c r="B26" i="31"/>
  <c r="B19" i="31"/>
  <c r="B18" i="31"/>
  <c r="B17" i="31"/>
  <c r="B16" i="31"/>
  <c r="B10" i="31"/>
  <c r="B9" i="31"/>
  <c r="B8" i="31"/>
  <c r="B7" i="31"/>
  <c r="B6" i="31"/>
  <c r="B39" i="30"/>
  <c r="B38" i="30"/>
  <c r="B37" i="30"/>
  <c r="B36" i="30"/>
  <c r="B29" i="30"/>
  <c r="B28" i="30"/>
  <c r="B27" i="30"/>
  <c r="B26" i="30"/>
  <c r="B21" i="30"/>
  <c r="B20" i="30"/>
  <c r="B19" i="30"/>
  <c r="B18" i="30"/>
  <c r="B17" i="30"/>
  <c r="B16" i="30"/>
  <c r="B38" i="29"/>
  <c r="B37" i="29"/>
  <c r="B36" i="29"/>
  <c r="B28" i="29"/>
  <c r="B27" i="29"/>
  <c r="B26" i="29"/>
  <c r="B19" i="29"/>
  <c r="B18" i="29"/>
  <c r="B17" i="29"/>
  <c r="B16" i="29"/>
  <c r="B11" i="29"/>
  <c r="B10" i="29"/>
  <c r="B9" i="29"/>
  <c r="B8" i="29"/>
  <c r="B7" i="29"/>
  <c r="B6" i="29"/>
  <c r="B16" i="26"/>
  <c r="B14" i="26"/>
  <c r="B11" i="26"/>
  <c r="B9" i="26"/>
  <c r="B8" i="26"/>
  <c r="B10" i="26" s="1"/>
  <c r="B7" i="26"/>
  <c r="B6" i="26"/>
  <c r="B5" i="26"/>
  <c r="F121" i="19"/>
  <c r="F120" i="19"/>
  <c r="F119" i="19"/>
  <c r="F118" i="19"/>
  <c r="F117" i="19"/>
  <c r="F116" i="19"/>
  <c r="F115" i="19"/>
  <c r="F114" i="19"/>
  <c r="F113" i="19"/>
  <c r="F112" i="19"/>
  <c r="F111" i="19"/>
  <c r="F110" i="19"/>
  <c r="F109" i="19"/>
  <c r="F108" i="19"/>
  <c r="F107" i="19"/>
  <c r="F106" i="19"/>
  <c r="F105" i="19"/>
  <c r="F104" i="19"/>
  <c r="F103" i="19"/>
  <c r="F102" i="19"/>
  <c r="F101" i="19"/>
  <c r="F100" i="19"/>
  <c r="F99" i="19"/>
  <c r="F98" i="19"/>
  <c r="F97" i="19"/>
  <c r="F96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F3" i="19"/>
  <c r="F2" i="19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J121" i="11"/>
  <c r="J120" i="11"/>
  <c r="J119" i="11"/>
  <c r="J118" i="11"/>
  <c r="J117" i="11"/>
  <c r="J116" i="11"/>
  <c r="J115" i="11"/>
  <c r="J114" i="11"/>
  <c r="J113" i="11"/>
  <c r="J112" i="11"/>
  <c r="J111" i="11"/>
  <c r="J110" i="11"/>
  <c r="J109" i="11"/>
  <c r="J108" i="11"/>
  <c r="J107" i="11"/>
  <c r="J106" i="11"/>
  <c r="J105" i="11"/>
  <c r="J104" i="11"/>
  <c r="J103" i="11"/>
  <c r="J102" i="11"/>
  <c r="J101" i="11"/>
  <c r="J100" i="11"/>
  <c r="J99" i="11"/>
  <c r="J98" i="11"/>
  <c r="J97" i="11"/>
  <c r="J96" i="11"/>
  <c r="J95" i="11"/>
  <c r="J94" i="11"/>
  <c r="J93" i="11"/>
  <c r="J92" i="11"/>
  <c r="J91" i="11"/>
  <c r="J90" i="11"/>
  <c r="J89" i="11"/>
  <c r="J88" i="11"/>
  <c r="J87" i="11"/>
  <c r="J86" i="11"/>
  <c r="J85" i="11"/>
  <c r="J84" i="11"/>
  <c r="J83" i="11"/>
  <c r="J82" i="11"/>
  <c r="J81" i="11"/>
  <c r="J80" i="11"/>
  <c r="J79" i="11"/>
  <c r="J78" i="11"/>
  <c r="J77" i="11"/>
  <c r="J76" i="11"/>
  <c r="J75" i="11"/>
  <c r="J74" i="11"/>
  <c r="J73" i="11"/>
  <c r="J72" i="11"/>
  <c r="J71" i="11"/>
  <c r="J70" i="11"/>
  <c r="J69" i="11"/>
  <c r="J68" i="11"/>
  <c r="J67" i="11"/>
  <c r="J66" i="11"/>
  <c r="J65" i="11"/>
  <c r="J64" i="11"/>
  <c r="J63" i="11"/>
  <c r="J62" i="11"/>
  <c r="J61" i="11"/>
  <c r="J60" i="11"/>
  <c r="J59" i="11"/>
  <c r="J58" i="11"/>
  <c r="J57" i="11"/>
  <c r="J56" i="11"/>
  <c r="J55" i="11"/>
  <c r="J54" i="11"/>
  <c r="J53" i="11"/>
  <c r="J52" i="11"/>
  <c r="J51" i="11"/>
  <c r="J50" i="11"/>
  <c r="J49" i="11"/>
  <c r="J48" i="11"/>
  <c r="J47" i="11"/>
  <c r="J46" i="11"/>
  <c r="J45" i="11"/>
  <c r="J44" i="11"/>
  <c r="J43" i="11"/>
  <c r="J42" i="1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2" i="11"/>
  <c r="K121" i="10"/>
  <c r="K120" i="10"/>
  <c r="K119" i="10"/>
  <c r="K118" i="10"/>
  <c r="K117" i="10"/>
  <c r="K116" i="10"/>
  <c r="K115" i="10"/>
  <c r="K114" i="10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J121" i="8"/>
  <c r="K121" i="8" s="1"/>
  <c r="G121" i="8"/>
  <c r="J120" i="8"/>
  <c r="K120" i="8" s="1"/>
  <c r="G120" i="8"/>
  <c r="J119" i="8"/>
  <c r="K119" i="8" s="1"/>
  <c r="G119" i="8"/>
  <c r="J118" i="8"/>
  <c r="K118" i="8" s="1"/>
  <c r="G118" i="8"/>
  <c r="J117" i="8"/>
  <c r="K117" i="8" s="1"/>
  <c r="G117" i="8"/>
  <c r="J116" i="8"/>
  <c r="K116" i="8" s="1"/>
  <c r="G116" i="8"/>
  <c r="K115" i="8"/>
  <c r="J115" i="8"/>
  <c r="G115" i="8"/>
  <c r="J114" i="8"/>
  <c r="K114" i="8" s="1"/>
  <c r="G114" i="8"/>
  <c r="J113" i="8"/>
  <c r="K113" i="8" s="1"/>
  <c r="G113" i="8"/>
  <c r="J112" i="8"/>
  <c r="K112" i="8" s="1"/>
  <c r="G112" i="8"/>
  <c r="K111" i="8"/>
  <c r="J111" i="8"/>
  <c r="G111" i="8"/>
  <c r="J110" i="8"/>
  <c r="K110" i="8" s="1"/>
  <c r="G110" i="8"/>
  <c r="J109" i="8"/>
  <c r="K109" i="8" s="1"/>
  <c r="G109" i="8"/>
  <c r="J108" i="8"/>
  <c r="K108" i="8" s="1"/>
  <c r="G108" i="8"/>
  <c r="K107" i="8"/>
  <c r="J107" i="8"/>
  <c r="G107" i="8"/>
  <c r="J106" i="8"/>
  <c r="K106" i="8" s="1"/>
  <c r="G106" i="8"/>
  <c r="J105" i="8"/>
  <c r="K105" i="8" s="1"/>
  <c r="G105" i="8"/>
  <c r="J104" i="8"/>
  <c r="K104" i="8" s="1"/>
  <c r="G104" i="8"/>
  <c r="K103" i="8"/>
  <c r="J103" i="8"/>
  <c r="G103" i="8"/>
  <c r="J102" i="8"/>
  <c r="K102" i="8" s="1"/>
  <c r="G102" i="8"/>
  <c r="J101" i="8"/>
  <c r="K101" i="8" s="1"/>
  <c r="G101" i="8"/>
  <c r="J100" i="8"/>
  <c r="K100" i="8" s="1"/>
  <c r="G100" i="8"/>
  <c r="K99" i="8"/>
  <c r="J99" i="8"/>
  <c r="G99" i="8"/>
  <c r="J98" i="8"/>
  <c r="K98" i="8" s="1"/>
  <c r="G98" i="8"/>
  <c r="J97" i="8"/>
  <c r="K97" i="8" s="1"/>
  <c r="G97" i="8"/>
  <c r="J96" i="8"/>
  <c r="K96" i="8" s="1"/>
  <c r="G96" i="8"/>
  <c r="K95" i="8"/>
  <c r="J95" i="8"/>
  <c r="G95" i="8"/>
  <c r="J94" i="8"/>
  <c r="K94" i="8" s="1"/>
  <c r="G94" i="8"/>
  <c r="J93" i="8"/>
  <c r="K93" i="8" s="1"/>
  <c r="G93" i="8"/>
  <c r="J92" i="8"/>
  <c r="K92" i="8" s="1"/>
  <c r="G92" i="8"/>
  <c r="K91" i="8"/>
  <c r="J91" i="8"/>
  <c r="G91" i="8"/>
  <c r="J90" i="8"/>
  <c r="K90" i="8" s="1"/>
  <c r="G90" i="8"/>
  <c r="J89" i="8"/>
  <c r="K89" i="8" s="1"/>
  <c r="G89" i="8"/>
  <c r="J88" i="8"/>
  <c r="K88" i="8" s="1"/>
  <c r="G88" i="8"/>
  <c r="K87" i="8"/>
  <c r="J87" i="8"/>
  <c r="G87" i="8"/>
  <c r="J86" i="8"/>
  <c r="K86" i="8" s="1"/>
  <c r="G86" i="8"/>
  <c r="J85" i="8"/>
  <c r="K85" i="8" s="1"/>
  <c r="G85" i="8"/>
  <c r="J84" i="8"/>
  <c r="K84" i="8" s="1"/>
  <c r="G84" i="8"/>
  <c r="K83" i="8"/>
  <c r="J83" i="8"/>
  <c r="G83" i="8"/>
  <c r="J82" i="8"/>
  <c r="K82" i="8" s="1"/>
  <c r="G82" i="8"/>
  <c r="J81" i="8"/>
  <c r="K81" i="8" s="1"/>
  <c r="G81" i="8"/>
  <c r="J80" i="8"/>
  <c r="K80" i="8" s="1"/>
  <c r="G80" i="8"/>
  <c r="K79" i="8"/>
  <c r="J79" i="8"/>
  <c r="G79" i="8"/>
  <c r="J78" i="8"/>
  <c r="K78" i="8" s="1"/>
  <c r="G78" i="8"/>
  <c r="J77" i="8"/>
  <c r="K77" i="8" s="1"/>
  <c r="G77" i="8"/>
  <c r="J76" i="8"/>
  <c r="K76" i="8" s="1"/>
  <c r="G76" i="8"/>
  <c r="K75" i="8"/>
  <c r="J75" i="8"/>
  <c r="G75" i="8"/>
  <c r="J74" i="8"/>
  <c r="K74" i="8" s="1"/>
  <c r="G74" i="8"/>
  <c r="J73" i="8"/>
  <c r="K73" i="8" s="1"/>
  <c r="G73" i="8"/>
  <c r="J72" i="8"/>
  <c r="K72" i="8" s="1"/>
  <c r="G72" i="8"/>
  <c r="K71" i="8"/>
  <c r="J71" i="8"/>
  <c r="G71" i="8"/>
  <c r="J70" i="8"/>
  <c r="K70" i="8" s="1"/>
  <c r="G70" i="8"/>
  <c r="J69" i="8"/>
  <c r="K69" i="8" s="1"/>
  <c r="G69" i="8"/>
  <c r="J68" i="8"/>
  <c r="K68" i="8" s="1"/>
  <c r="G68" i="8"/>
  <c r="K67" i="8"/>
  <c r="J67" i="8"/>
  <c r="G67" i="8"/>
  <c r="J66" i="8"/>
  <c r="K66" i="8" s="1"/>
  <c r="G66" i="8"/>
  <c r="J65" i="8"/>
  <c r="K65" i="8" s="1"/>
  <c r="G65" i="8"/>
  <c r="J64" i="8"/>
  <c r="K64" i="8" s="1"/>
  <c r="G64" i="8"/>
  <c r="K63" i="8"/>
  <c r="J63" i="8"/>
  <c r="G63" i="8"/>
  <c r="J62" i="8"/>
  <c r="K62" i="8" s="1"/>
  <c r="G62" i="8"/>
  <c r="J61" i="8"/>
  <c r="K61" i="8" s="1"/>
  <c r="G61" i="8"/>
  <c r="J60" i="8"/>
  <c r="K60" i="8" s="1"/>
  <c r="G60" i="8"/>
  <c r="K59" i="8"/>
  <c r="J59" i="8"/>
  <c r="G59" i="8"/>
  <c r="J58" i="8"/>
  <c r="K58" i="8" s="1"/>
  <c r="G58" i="8"/>
  <c r="J57" i="8"/>
  <c r="K57" i="8" s="1"/>
  <c r="G57" i="8"/>
  <c r="J56" i="8"/>
  <c r="K56" i="8" s="1"/>
  <c r="G56" i="8"/>
  <c r="K55" i="8"/>
  <c r="J55" i="8"/>
  <c r="G55" i="8"/>
  <c r="J54" i="8"/>
  <c r="K54" i="8" s="1"/>
  <c r="G54" i="8"/>
  <c r="J53" i="8"/>
  <c r="K53" i="8" s="1"/>
  <c r="G53" i="8"/>
  <c r="J52" i="8"/>
  <c r="K52" i="8" s="1"/>
  <c r="G52" i="8"/>
  <c r="K51" i="8"/>
  <c r="J51" i="8"/>
  <c r="G51" i="8"/>
  <c r="J50" i="8"/>
  <c r="K50" i="8" s="1"/>
  <c r="G50" i="8"/>
  <c r="J49" i="8"/>
  <c r="K49" i="8" s="1"/>
  <c r="G49" i="8"/>
  <c r="J48" i="8"/>
  <c r="K48" i="8" s="1"/>
  <c r="G48" i="8"/>
  <c r="J47" i="8"/>
  <c r="K47" i="8" s="1"/>
  <c r="G47" i="8"/>
  <c r="J46" i="8"/>
  <c r="K46" i="8" s="1"/>
  <c r="G46" i="8"/>
  <c r="J45" i="8"/>
  <c r="K45" i="8" s="1"/>
  <c r="G45" i="8"/>
  <c r="J44" i="8"/>
  <c r="K44" i="8" s="1"/>
  <c r="G44" i="8"/>
  <c r="J43" i="8"/>
  <c r="K43" i="8" s="1"/>
  <c r="G43" i="8"/>
  <c r="J42" i="8"/>
  <c r="K42" i="8" s="1"/>
  <c r="G42" i="8"/>
  <c r="J41" i="8"/>
  <c r="K41" i="8" s="1"/>
  <c r="G41" i="8"/>
  <c r="J40" i="8"/>
  <c r="K40" i="8" s="1"/>
  <c r="G40" i="8"/>
  <c r="J39" i="8"/>
  <c r="K39" i="8" s="1"/>
  <c r="G39" i="8"/>
  <c r="J38" i="8"/>
  <c r="K38" i="8" s="1"/>
  <c r="G38" i="8"/>
  <c r="J37" i="8"/>
  <c r="K37" i="8" s="1"/>
  <c r="G37" i="8"/>
  <c r="J36" i="8"/>
  <c r="K36" i="8" s="1"/>
  <c r="G36" i="8"/>
  <c r="J35" i="8"/>
  <c r="K35" i="8" s="1"/>
  <c r="G35" i="8"/>
  <c r="J34" i="8"/>
  <c r="K34" i="8" s="1"/>
  <c r="G34" i="8"/>
  <c r="J33" i="8"/>
  <c r="K33" i="8" s="1"/>
  <c r="G33" i="8"/>
  <c r="J32" i="8"/>
  <c r="K32" i="8" s="1"/>
  <c r="G32" i="8"/>
  <c r="J31" i="8"/>
  <c r="K31" i="8" s="1"/>
  <c r="G31" i="8"/>
  <c r="J30" i="8"/>
  <c r="K30" i="8" s="1"/>
  <c r="G30" i="8"/>
  <c r="J29" i="8"/>
  <c r="K29" i="8" s="1"/>
  <c r="G29" i="8"/>
  <c r="J28" i="8"/>
  <c r="K28" i="8" s="1"/>
  <c r="G28" i="8"/>
  <c r="J27" i="8"/>
  <c r="K27" i="8" s="1"/>
  <c r="G27" i="8"/>
  <c r="J26" i="8"/>
  <c r="K26" i="8" s="1"/>
  <c r="G26" i="8"/>
  <c r="J25" i="8"/>
  <c r="K25" i="8" s="1"/>
  <c r="G25" i="8"/>
  <c r="J24" i="8"/>
  <c r="K24" i="8" s="1"/>
  <c r="G24" i="8"/>
  <c r="J23" i="8"/>
  <c r="K23" i="8" s="1"/>
  <c r="G23" i="8"/>
  <c r="J22" i="8"/>
  <c r="K22" i="8" s="1"/>
  <c r="G22" i="8"/>
  <c r="J21" i="8"/>
  <c r="K21" i="8" s="1"/>
  <c r="G21" i="8"/>
  <c r="J20" i="8"/>
  <c r="K20" i="8" s="1"/>
  <c r="G20" i="8"/>
  <c r="J19" i="8"/>
  <c r="K19" i="8" s="1"/>
  <c r="G19" i="8"/>
  <c r="J18" i="8"/>
  <c r="K18" i="8" s="1"/>
  <c r="G18" i="8"/>
  <c r="J17" i="8"/>
  <c r="K17" i="8" s="1"/>
  <c r="G17" i="8"/>
  <c r="J16" i="8"/>
  <c r="K16" i="8" s="1"/>
  <c r="G16" i="8"/>
  <c r="J15" i="8"/>
  <c r="K15" i="8" s="1"/>
  <c r="G15" i="8"/>
  <c r="J14" i="8"/>
  <c r="K14" i="8" s="1"/>
  <c r="G14" i="8"/>
  <c r="J13" i="8"/>
  <c r="K13" i="8" s="1"/>
  <c r="G13" i="8"/>
  <c r="J12" i="8"/>
  <c r="K12" i="8" s="1"/>
  <c r="G12" i="8"/>
  <c r="J11" i="8"/>
  <c r="K11" i="8" s="1"/>
  <c r="G11" i="8"/>
  <c r="J10" i="8"/>
  <c r="K10" i="8" s="1"/>
  <c r="G10" i="8"/>
  <c r="J9" i="8"/>
  <c r="K9" i="8" s="1"/>
  <c r="G9" i="8"/>
  <c r="J8" i="8"/>
  <c r="K8" i="8" s="1"/>
  <c r="G8" i="8"/>
  <c r="J7" i="8"/>
  <c r="K7" i="8" s="1"/>
  <c r="G7" i="8"/>
  <c r="J6" i="8"/>
  <c r="K6" i="8" s="1"/>
  <c r="G6" i="8"/>
  <c r="J5" i="8"/>
  <c r="K5" i="8" s="1"/>
  <c r="G5" i="8"/>
  <c r="J4" i="8"/>
  <c r="K4" i="8" s="1"/>
  <c r="G4" i="8"/>
  <c r="J3" i="8"/>
  <c r="K3" i="8" s="1"/>
  <c r="G3" i="8"/>
  <c r="J2" i="8"/>
  <c r="K2" i="8" s="1"/>
  <c r="G2" i="8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B13" i="26" l="1"/>
  <c r="B15" i="26"/>
  <c r="B12" i="26"/>
  <c r="B9" i="32"/>
  <c r="B9" i="30"/>
  <c r="B8" i="30"/>
  <c r="B7" i="30"/>
  <c r="B6" i="30"/>
</calcChain>
</file>

<file path=xl/sharedStrings.xml><?xml version="1.0" encoding="utf-8"?>
<sst xmlns="http://schemas.openxmlformats.org/spreadsheetml/2006/main" count="781" uniqueCount="458">
  <si>
    <t>PROFILE QR</t>
  </si>
  <si>
    <t>Information Systems &amp; Cybersecurity</t>
  </si>
  <si>
    <t>A practical GRC workbook covering frameworks, compliance assessments, evidence, risks, audit findings, corrective actions, and executive analytics.</t>
  </si>
  <si>
    <t>CONTACT</t>
  </si>
  <si>
    <t>WORKBOOK HIGHLIGHTS</t>
  </si>
  <si>
    <t>Email</t>
  </si>
  <si>
    <t>mbnq1@outlook.com</t>
  </si>
  <si>
    <t>LinkedIn</t>
  </si>
  <si>
    <t>linkedin.com/in/mbnq</t>
  </si>
  <si>
    <t>GitHub</t>
  </si>
  <si>
    <t>github.com/mbnq11</t>
  </si>
  <si>
    <t>Location</t>
  </si>
  <si>
    <t>QUICK ACCESS</t>
  </si>
  <si>
    <t>Executive Dashboard</t>
  </si>
  <si>
    <t>Index / Table of Contents</t>
  </si>
  <si>
    <t>Framework Navigator</t>
  </si>
  <si>
    <t>Compliance Analytics</t>
  </si>
  <si>
    <t>Risk Analytics</t>
  </si>
  <si>
    <t>Operations Analytics</t>
  </si>
  <si>
    <t>Evidence Register</t>
  </si>
  <si>
    <t>Risk Register</t>
  </si>
  <si>
    <t>Audit Findings</t>
  </si>
  <si>
    <t>INDEX / TABLE OF CONTENTS</t>
  </si>
  <si>
    <t>Use this page as the main navigation hub. Click any worksheet name or OPEN button to jump directly to that section.</t>
  </si>
  <si>
    <t>Cover</t>
  </si>
  <si>
    <t>Dashboard</t>
  </si>
  <si>
    <t>Analytics</t>
  </si>
  <si>
    <t>#</t>
  </si>
  <si>
    <t>Worksheet</t>
  </si>
  <si>
    <t>Section</t>
  </si>
  <si>
    <t>Purpose</t>
  </si>
  <si>
    <t>Open</t>
  </si>
  <si>
    <t>Overview</t>
  </si>
  <si>
    <t>Personal landing page with identity, contact details, QR, and quick access.</t>
  </si>
  <si>
    <t>OPEN</t>
  </si>
  <si>
    <t>Index</t>
  </si>
  <si>
    <t>Master navigation page for all worksheets.</t>
  </si>
  <si>
    <t>Framework Library</t>
  </si>
  <si>
    <t>Core Registers</t>
  </si>
  <si>
    <t>List of frameworks and basic applicability attributes.</t>
  </si>
  <si>
    <t>Regulatory Register</t>
  </si>
  <si>
    <t>Tracked obligations and references.</t>
  </si>
  <si>
    <t>Control Library</t>
  </si>
  <si>
    <t>Master list of controls.</t>
  </si>
  <si>
    <t>Assessments</t>
  </si>
  <si>
    <t>Assessment records and statuses.</t>
  </si>
  <si>
    <t>Evidence references and validation status.</t>
  </si>
  <si>
    <t>Identified risks with ratings.</t>
  </si>
  <si>
    <t>Risk Treatments</t>
  </si>
  <si>
    <t>Planned response and treatment activities.</t>
  </si>
  <si>
    <t>Findings, severities, owners, and status.</t>
  </si>
  <si>
    <t>Corrective Actions</t>
  </si>
  <si>
    <t>Action tracking and due dates.</t>
  </si>
  <si>
    <t>Compliance Exceptions</t>
  </si>
  <si>
    <t>Exception records and expiry monitoring.</t>
  </si>
  <si>
    <t>Third Parties</t>
  </si>
  <si>
    <t>Supplier / third-party register.</t>
  </si>
  <si>
    <t>Privacy Governance</t>
  </si>
  <si>
    <t>Privacy governance and tracking.</t>
  </si>
  <si>
    <t>Policies</t>
  </si>
  <si>
    <t>Policy register and review information.</t>
  </si>
  <si>
    <t>Incidents</t>
  </si>
  <si>
    <t>Incident governance tracking.</t>
  </si>
  <si>
    <t>Business Continuity</t>
  </si>
  <si>
    <t>BC/DR items and continuity oversight.</t>
  </si>
  <si>
    <t>KPI Catalogue</t>
  </si>
  <si>
    <t>Metric definitions and governance.</t>
  </si>
  <si>
    <t>KPI Results</t>
  </si>
  <si>
    <t>Metric values and reporting outputs.</t>
  </si>
  <si>
    <t>Crosswalk</t>
  </si>
  <si>
    <t>Framework mapping / crosswalk.</t>
  </si>
  <si>
    <t>Regulatory Review Queue</t>
  </si>
  <si>
    <t>Manual queue for regulatory monitoring.</t>
  </si>
  <si>
    <t>Risk History</t>
  </si>
  <si>
    <t>Historical risk record tracking.</t>
  </si>
  <si>
    <t>Change Log</t>
  </si>
  <si>
    <t>Workbook or data changes log.</t>
  </si>
  <si>
    <t>QA Results</t>
  </si>
  <si>
    <t>Quality assurance test log.</t>
  </si>
  <si>
    <t>Start Here</t>
  </si>
  <si>
    <t>Original workbook start sheet and navigation.</t>
  </si>
  <si>
    <t>Executive summary metrics and overview.</t>
  </si>
  <si>
    <t>Methodology</t>
  </si>
  <si>
    <t>Scoring, rating, and workbook rules.</t>
  </si>
  <si>
    <t>Framework grouping and navigation.</t>
  </si>
  <si>
    <t>Chart-based view of compliance-related data.</t>
  </si>
  <si>
    <t>Chart-based view of risk data.</t>
  </si>
  <si>
    <t>Chart-based view of actions, audits, and third parties.</t>
  </si>
  <si>
    <t>Live KPI Overview</t>
  </si>
  <si>
    <t>Live KPI summary tied to source data.</t>
  </si>
  <si>
    <t>Framework ID</t>
  </si>
  <si>
    <t>Framework</t>
  </si>
  <si>
    <t>Authority</t>
  </si>
  <si>
    <t>Jurisdiction</t>
  </si>
  <si>
    <t>Version</t>
  </si>
  <si>
    <t>Official Source URL</t>
  </si>
  <si>
    <t>Applicability</t>
  </si>
  <si>
    <t>Verification Status</t>
  </si>
  <si>
    <t>Last Verified</t>
  </si>
  <si>
    <t>Owner</t>
  </si>
  <si>
    <t>Framework Group</t>
  </si>
  <si>
    <t>NCA-ECC</t>
  </si>
  <si>
    <t>Essential Cybersecurity Controls</t>
  </si>
  <si>
    <t>NCA</t>
  </si>
  <si>
    <t>Saudi Arabia</t>
  </si>
  <si>
    <t>https://nca.gov.sa</t>
  </si>
  <si>
    <t>Pending decision</t>
  </si>
  <si>
    <t>Unverified</t>
  </si>
  <si>
    <t>Saudi / NCA</t>
  </si>
  <si>
    <t>NCA-CSCC</t>
  </si>
  <si>
    <t>Critical Systems Cybersecurity Controls</t>
  </si>
  <si>
    <t>NCA-CCC</t>
  </si>
  <si>
    <t>Cloud Cybersecurity Controls</t>
  </si>
  <si>
    <t>PDPL</t>
  </si>
  <si>
    <t>Personal Data Protection Law</t>
  </si>
  <si>
    <t>Saudi authorities</t>
  </si>
  <si>
    <t>https://sdaia.gov.sa</t>
  </si>
  <si>
    <t>Pending legal review</t>
  </si>
  <si>
    <t>Saudi / Privacy</t>
  </si>
  <si>
    <t>SAMA-CSF</t>
  </si>
  <si>
    <t>Cyber Security Framework</t>
  </si>
  <si>
    <t>SAMA</t>
  </si>
  <si>
    <t>https://www.sama.gov.sa</t>
  </si>
  <si>
    <t>Sector-specific</t>
  </si>
  <si>
    <t>International / ISO</t>
  </si>
  <si>
    <t>ISO27001</t>
  </si>
  <si>
    <t>ISO/IEC 27001</t>
  </si>
  <si>
    <t>ISO</t>
  </si>
  <si>
    <t>International</t>
  </si>
  <si>
    <t>2022</t>
  </si>
  <si>
    <t>https://www.iso.org</t>
  </si>
  <si>
    <t>Certification / voluntary</t>
  </si>
  <si>
    <t>International / NIST</t>
  </si>
  <si>
    <t>NIST-CSF</t>
  </si>
  <si>
    <t>NIST Cybersecurity Framework</t>
  </si>
  <si>
    <t>NIST</t>
  </si>
  <si>
    <t>2.0</t>
  </si>
  <si>
    <t>https://www.nist.gov/cyberframework</t>
  </si>
  <si>
    <t>Voluntary / contractual</t>
  </si>
  <si>
    <t>International / CIS</t>
  </si>
  <si>
    <t>CIS</t>
  </si>
  <si>
    <t>CIS Critical Security Controls</t>
  </si>
  <si>
    <t>https://www.cisecurity.org</t>
  </si>
  <si>
    <t>International / Other</t>
  </si>
  <si>
    <t>Obligation ID</t>
  </si>
  <si>
    <t>Requirement Summary</t>
  </si>
  <si>
    <t>Applicable?</t>
  </si>
  <si>
    <t>Decision Rationale</t>
  </si>
  <si>
    <t>Review Date</t>
  </si>
  <si>
    <t>Status</t>
  </si>
  <si>
    <t>Control ID</t>
  </si>
  <si>
    <t>Original Reference</t>
  </si>
  <si>
    <t>Control Title</t>
  </si>
  <si>
    <t>Domain</t>
  </si>
  <si>
    <t>Implementation Status</t>
  </si>
  <si>
    <t>Assessment Frequency</t>
  </si>
  <si>
    <t>Required Evidence</t>
  </si>
  <si>
    <t>Assessment ID</t>
  </si>
  <si>
    <t>Period</t>
  </si>
  <si>
    <t>Assessor</t>
  </si>
  <si>
    <t>Result</t>
  </si>
  <si>
    <t>Evidence ID</t>
  </si>
  <si>
    <t>Assessment Date</t>
  </si>
  <si>
    <t>Notes</t>
  </si>
  <si>
    <t>Reference Location</t>
  </si>
  <si>
    <t>Classification</t>
  </si>
  <si>
    <t>Collected Date</t>
  </si>
  <si>
    <t>Expiry Date</t>
  </si>
  <si>
    <t>Review Status</t>
  </si>
  <si>
    <t>Validity</t>
  </si>
  <si>
    <t>Risk ID</t>
  </si>
  <si>
    <t>Risk Description</t>
  </si>
  <si>
    <t>Category</t>
  </si>
  <si>
    <t>Inherent Likelihood</t>
  </si>
  <si>
    <t>Inherent Impact</t>
  </si>
  <si>
    <t>Inherent Score</t>
  </si>
  <si>
    <t>Residual Likelihood</t>
  </si>
  <si>
    <t>Residual Impact</t>
  </si>
  <si>
    <t>Residual Score</t>
  </si>
  <si>
    <t>Residual Rating</t>
  </si>
  <si>
    <t>Treatment</t>
  </si>
  <si>
    <t>Treatment ID</t>
  </si>
  <si>
    <t>Treatment Choice</t>
  </si>
  <si>
    <t>Due Date</t>
  </si>
  <si>
    <t>Validation</t>
  </si>
  <si>
    <t>Finding ID</t>
  </si>
  <si>
    <t>Audit ID</t>
  </si>
  <si>
    <t>Condition</t>
  </si>
  <si>
    <t>Root Cause</t>
  </si>
  <si>
    <t>Severity</t>
  </si>
  <si>
    <t>Days Overdue</t>
  </si>
  <si>
    <t>Action ID</t>
  </si>
  <si>
    <t>Action Description</t>
  </si>
  <si>
    <t>Exception ID</t>
  </si>
  <si>
    <t>Rationale</t>
  </si>
  <si>
    <t>Approver</t>
  </si>
  <si>
    <t>Expiration Date</t>
  </si>
  <si>
    <t>Expiry Alert</t>
  </si>
  <si>
    <t>Supplier ID</t>
  </si>
  <si>
    <t>Supplier Name</t>
  </si>
  <si>
    <t>Service</t>
  </si>
  <si>
    <t>Criticality</t>
  </si>
  <si>
    <t>Assessment Status</t>
  </si>
  <si>
    <t>Next Review</t>
  </si>
  <si>
    <t>Processing ID</t>
  </si>
  <si>
    <t>Processing Activity</t>
  </si>
  <si>
    <t>Data Category</t>
  </si>
  <si>
    <t>Legal Review</t>
  </si>
  <si>
    <t>Retention</t>
  </si>
  <si>
    <t>Transfer Review</t>
  </si>
  <si>
    <t>Policy ID</t>
  </si>
  <si>
    <t>Policy Name</t>
  </si>
  <si>
    <t>Approved Date</t>
  </si>
  <si>
    <t>Incident ID</t>
  </si>
  <si>
    <t>Incident Description</t>
  </si>
  <si>
    <t>Opened Date</t>
  </si>
  <si>
    <t>Closure Date</t>
  </si>
  <si>
    <t>Lessons Learned</t>
  </si>
  <si>
    <t>Plan ID</t>
  </si>
  <si>
    <t>Critical Service</t>
  </si>
  <si>
    <t>RTO Hours</t>
  </si>
  <si>
    <t>RPO Hours</t>
  </si>
  <si>
    <t>Last Test</t>
  </si>
  <si>
    <t>Next Test</t>
  </si>
  <si>
    <t>Metric ID</t>
  </si>
  <si>
    <t>Metric</t>
  </si>
  <si>
    <t>Definition</t>
  </si>
  <si>
    <t>Numerator</t>
  </si>
  <si>
    <t>Denominator</t>
  </si>
  <si>
    <t>Frequency</t>
  </si>
  <si>
    <t>Target</t>
  </si>
  <si>
    <t>Result ID</t>
  </si>
  <si>
    <t>Reporting Period</t>
  </si>
  <si>
    <t>Quality Status</t>
  </si>
  <si>
    <t>Mapping ID</t>
  </si>
  <si>
    <t>Source Control</t>
  </si>
  <si>
    <t>Target Control</t>
  </si>
  <si>
    <t>Mapping Type</t>
  </si>
  <si>
    <t>Reviewer</t>
  </si>
  <si>
    <t>Verification Date</t>
  </si>
  <si>
    <t>Confidence</t>
  </si>
  <si>
    <t>Review ID</t>
  </si>
  <si>
    <t>Source</t>
  </si>
  <si>
    <t>Official URL</t>
  </si>
  <si>
    <t>Review Frequency</t>
  </si>
  <si>
    <t>Last Checked</t>
  </si>
  <si>
    <t>REV-001</t>
  </si>
  <si>
    <t>NCA Publications</t>
  </si>
  <si>
    <t>Quarterly</t>
  </si>
  <si>
    <t>Pending</t>
  </si>
  <si>
    <t>REV-002</t>
  </si>
  <si>
    <t>PDPL / SDAIA</t>
  </si>
  <si>
    <t>REV-003</t>
  </si>
  <si>
    <t>REV-004</t>
  </si>
  <si>
    <t>NIST CSF</t>
  </si>
  <si>
    <t>Annual</t>
  </si>
  <si>
    <t>Snapshot ID</t>
  </si>
  <si>
    <t>Snapshot Date</t>
  </si>
  <si>
    <t>Change ID</t>
  </si>
  <si>
    <t>Record Type</t>
  </si>
  <si>
    <t>Record ID</t>
  </si>
  <si>
    <t>Changed On</t>
  </si>
  <si>
    <t>Changed By</t>
  </si>
  <si>
    <t>Change Description</t>
  </si>
  <si>
    <t>Approval</t>
  </si>
  <si>
    <t>Test ID</t>
  </si>
  <si>
    <t>Test Description</t>
  </si>
  <si>
    <t>Expected</t>
  </si>
  <si>
    <t>Actual</t>
  </si>
  <si>
    <t>QA-01</t>
  </si>
  <si>
    <t>Workbook generated</t>
  </si>
  <si>
    <t>File saved and re-opened</t>
  </si>
  <si>
    <t>File generation check</t>
  </si>
  <si>
    <t>NOT VERIFIED</t>
  </si>
  <si>
    <t>Set after export</t>
  </si>
  <si>
    <t>QA-02</t>
  </si>
  <si>
    <t>Risk score formula</t>
  </si>
  <si>
    <t>Likelihood × impact</t>
  </si>
  <si>
    <t>Formula inserted</t>
  </si>
  <si>
    <t>PARTIAL</t>
  </si>
  <si>
    <t>Excel runtime recalculation not tested</t>
  </si>
  <si>
    <t>QA-03</t>
  </si>
  <si>
    <t>Missing evidence</t>
  </si>
  <si>
    <t>No automatic compliance</t>
  </si>
  <si>
    <t>No automatic assessment results</t>
  </si>
  <si>
    <t>PASS</t>
  </si>
  <si>
    <t>By design: assessments require manual result</t>
  </si>
  <si>
    <t>QA-04</t>
  </si>
  <si>
    <t>Regulatory sources</t>
  </si>
  <si>
    <t>Verified current versions</t>
  </si>
  <si>
    <t>Unverified source metadata</t>
  </si>
  <si>
    <t>Official research not performed</t>
  </si>
  <si>
    <t>QA-05</t>
  </si>
  <si>
    <t>Dropdown lists</t>
  </si>
  <si>
    <t>Valid selections</t>
  </si>
  <si>
    <t>Validation rules configured</t>
  </si>
  <si>
    <t>Needs Excel UI check</t>
  </si>
  <si>
    <t>QA-06</t>
  </si>
  <si>
    <t>Dashboard coverage</t>
  </si>
  <si>
    <t>Accurate linked denominator</t>
  </si>
  <si>
    <t>Requires organization-specific control links</t>
  </si>
  <si>
    <t>Do not rely on coverage metric until control linkage configured</t>
  </si>
  <si>
    <t>QA-07</t>
  </si>
  <si>
    <t>Audit log</t>
  </si>
  <si>
    <t>Tamper-evident tracking</t>
  </si>
  <si>
    <t>Manual log only</t>
  </si>
  <si>
    <t>Excel cannot guarantee immutable audit trail</t>
  </si>
  <si>
    <t>QA-08</t>
  </si>
  <si>
    <t>Historical snapshots</t>
  </si>
  <si>
    <t>Retained history</t>
  </si>
  <si>
    <t>Risk History register provided</t>
  </si>
  <si>
    <t>Manual snapshots required</t>
  </si>
  <si>
    <t>EXECUTIVE  /  GRC OVERVIEW</t>
  </si>
  <si>
    <t>Registered controls</t>
  </si>
  <si>
    <t>Applicable controls</t>
  </si>
  <si>
    <t>Assessed applicable controls</t>
  </si>
  <si>
    <t>Completed assessments</t>
  </si>
  <si>
    <t>Compliant assessments</t>
  </si>
  <si>
    <t>Compliance rate (assessed)</t>
  </si>
  <si>
    <t>Open risks</t>
  </si>
  <si>
    <t>High / critical residual risks</t>
  </si>
  <si>
    <t>Overdue corrective actions</t>
  </si>
  <si>
    <t>Open audit findings</t>
  </si>
  <si>
    <t>Expired exceptions</t>
  </si>
  <si>
    <t>Unverified regulatory sources</t>
  </si>
  <si>
    <t>METHOD / RULE</t>
  </si>
  <si>
    <t>POLICY</t>
  </si>
  <si>
    <t>Risk model</t>
  </si>
  <si>
    <t>Likelihood × Impact, 1–5 each</t>
  </si>
  <si>
    <t>Low</t>
  </si>
  <si>
    <t>1–4</t>
  </si>
  <si>
    <t>Moderate</t>
  </si>
  <si>
    <t>5–9</t>
  </si>
  <si>
    <t>High</t>
  </si>
  <si>
    <t>10–16</t>
  </si>
  <si>
    <t>Critical</t>
  </si>
  <si>
    <t>17–25</t>
  </si>
  <si>
    <t>Threshold approval</t>
  </si>
  <si>
    <t>Illustrative only: obtain organizational approval</t>
  </si>
  <si>
    <t>Compliance numerator</t>
  </si>
  <si>
    <t>Compliant assessed applicable controls only</t>
  </si>
  <si>
    <t>Compliance denominator</t>
  </si>
  <si>
    <t>All assessed applicable controls; exclude Not Assessed, Not Applicable, Unable to Verify</t>
  </si>
  <si>
    <t>Assessment coverage</t>
  </si>
  <si>
    <t>Assessed applicable controls / total applicable controls</t>
  </si>
  <si>
    <t>Evidence rule</t>
  </si>
  <si>
    <t>Missing or unverified evidence never implies compliance</t>
  </si>
  <si>
    <t>Regulatory rule</t>
  </si>
  <si>
    <t>All sources unverified until checked by qualified reviewer</t>
  </si>
  <si>
    <t>CATEGORY</t>
  </si>
  <si>
    <t>FRAMEWORK / STANDARD</t>
  </si>
  <si>
    <t>PURPOSE</t>
  </si>
  <si>
    <t>APPLICABILITY</t>
  </si>
  <si>
    <t>VERIFICATION</t>
  </si>
  <si>
    <t>SAUDI / NCA</t>
  </si>
  <si>
    <t>Essential Cybersecurity Controls (ECC)</t>
  </si>
  <si>
    <t>Baseline cybersecurity controls</t>
  </si>
  <si>
    <t>Confirm organization scope</t>
  </si>
  <si>
    <t>Pending verification</t>
  </si>
  <si>
    <t>Critical Systems Cybersecurity Controls (CSCC)</t>
  </si>
  <si>
    <t>Critical systems protection</t>
  </si>
  <si>
    <t>Only where applicable</t>
  </si>
  <si>
    <t>Cloud Cybersecurity Controls (CCC)</t>
  </si>
  <si>
    <t>Cloud security obligations</t>
  </si>
  <si>
    <t>Cloud roles / scope</t>
  </si>
  <si>
    <t>SAUDI / PRIVACY</t>
  </si>
  <si>
    <t>Personal Data Protection Law (PDPL)</t>
  </si>
  <si>
    <t>Personal data governance</t>
  </si>
  <si>
    <t>Legal review required</t>
  </si>
  <si>
    <t>SAUDI / FINANCIAL</t>
  </si>
  <si>
    <t>SAMA Cyber Security Framework</t>
  </si>
  <si>
    <t>Financial-sector cybersecurity</t>
  </si>
  <si>
    <t>INTERNATIONAL / ISO</t>
  </si>
  <si>
    <t>Information security management system</t>
  </si>
  <si>
    <t>Certification / contractual</t>
  </si>
  <si>
    <t>Check licensed edition</t>
  </si>
  <si>
    <t>INTERNATIONAL / NIST</t>
  </si>
  <si>
    <t>NIST CSF 2.0</t>
  </si>
  <si>
    <t>Cybersecurity outcomes and governance</t>
  </si>
  <si>
    <t>Voluntary unless required</t>
  </si>
  <si>
    <t>Confirm source version</t>
  </si>
  <si>
    <t>INTERNATIONAL / CIS</t>
  </si>
  <si>
    <t>Prioritized security safeguards</t>
  </si>
  <si>
    <t>Risk-based selection</t>
  </si>
  <si>
    <t>INTERNATIONAL / PAYMENT</t>
  </si>
  <si>
    <t>PCI DSS</t>
  </si>
  <si>
    <t>Payment card data security</t>
  </si>
  <si>
    <t>IMPORTANT  /  HOW TO USE</t>
  </si>
  <si>
    <t>1. Determine which regulators and frameworks apply to your organization.</t>
  </si>
  <si>
    <t>2. Verify current editions, legal scope and official sources before assessments.</t>
  </si>
  <si>
    <t>3. Map obligations to controls using documented rationale; do not assume equivalence.</t>
  </si>
  <si>
    <t>4. Record control assessments and evidence before reporting compliance.</t>
  </si>
  <si>
    <t>5. Frameworks listed here are reference categories, not a claim of certification.</t>
  </si>
  <si>
    <t>COMPLIANCE ANALYTICS</t>
  </si>
  <si>
    <t>LIVE • Charts recalculate from source register entries in Excel</t>
  </si>
  <si>
    <t>Assessment outcomes</t>
  </si>
  <si>
    <t>Compliant</t>
  </si>
  <si>
    <t>Partially Compliant</t>
  </si>
  <si>
    <t>Non-Compliant</t>
  </si>
  <si>
    <t>Not Assessed</t>
  </si>
  <si>
    <t>Unable to Verify</t>
  </si>
  <si>
    <t>Not Applicable</t>
  </si>
  <si>
    <t>Evidence verification</t>
  </si>
  <si>
    <t>Verified</t>
  </si>
  <si>
    <t>Not Verified</t>
  </si>
  <si>
    <t>Pending Review</t>
  </si>
  <si>
    <t>Rejected</t>
  </si>
  <si>
    <t>Framework applicability</t>
  </si>
  <si>
    <t>Applicable</t>
  </si>
  <si>
    <t>Framework verification</t>
  </si>
  <si>
    <t>Needs Review</t>
  </si>
  <si>
    <t>RISK ANALYTICS</t>
  </si>
  <si>
    <t>Residual risk levels</t>
  </si>
  <si>
    <t>Risk categories</t>
  </si>
  <si>
    <t>Regulatory compliance</t>
  </si>
  <si>
    <t>Privacy</t>
  </si>
  <si>
    <t>Cloud security</t>
  </si>
  <si>
    <t>Third-party risk</t>
  </si>
  <si>
    <t>Identity and access management</t>
  </si>
  <si>
    <t>Incident response</t>
  </si>
  <si>
    <t>Treatment decisions</t>
  </si>
  <si>
    <t>Mitigate</t>
  </si>
  <si>
    <t>Avoid</t>
  </si>
  <si>
    <t>Transfer</t>
  </si>
  <si>
    <t>Accept</t>
  </si>
  <si>
    <t>Audit severity</t>
  </si>
  <si>
    <t>OPERATIONS ANALYTICS</t>
  </si>
  <si>
    <t>Corrective action status</t>
  </si>
  <si>
    <t>Not Started</t>
  </si>
  <si>
    <t>In Progress</t>
  </si>
  <si>
    <t>Completed</t>
  </si>
  <si>
    <t>Closed</t>
  </si>
  <si>
    <t>Overdue</t>
  </si>
  <si>
    <t>Audit finding status</t>
  </si>
  <si>
    <t>Pending Validation</t>
  </si>
  <si>
    <t>Supplier criticality</t>
  </si>
  <si>
    <t>Medium</t>
  </si>
  <si>
    <t>Supplier assessments</t>
  </si>
  <si>
    <t>GRC  /  LIVE INTELLIGENCE</t>
  </si>
  <si>
    <t>METRIC</t>
  </si>
  <si>
    <t>LIVE VALUE</t>
  </si>
  <si>
    <t>Total assessments</t>
  </si>
  <si>
    <t>Assessment coverage*</t>
  </si>
  <si>
    <t>Registered risks</t>
  </si>
  <si>
    <t>Critical residual risks</t>
  </si>
  <si>
    <t>Evidence pending verification</t>
  </si>
  <si>
    <t>Supplier records</t>
  </si>
  <si>
    <t>* Share of assessment records marked Compliant; not full control coverage.</t>
  </si>
  <si>
    <r>
      <rPr>
        <sz val="10"/>
        <color rgb="FFC00000"/>
        <rFont val="Amasis MT Pro Medium"/>
        <family val="1"/>
      </rPr>
      <t>IMPORTANT:</t>
    </r>
    <r>
      <rPr>
        <sz val="10"/>
        <color rgb="FF6E6E73"/>
        <rFont val="Amasis MT Pro Medium"/>
        <family val="1"/>
      </rPr>
      <t xml:space="preserve"> This dashboard reports entered records only. Zero records ≠ verified compliance. Confirm organizational applicability and evidence.</t>
    </r>
  </si>
  <si>
    <r>
      <rPr>
        <b/>
        <sz val="14"/>
        <color rgb="FFC00000"/>
        <rFont val="Aptos"/>
        <family val="2"/>
      </rPr>
      <t>Note:</t>
    </r>
    <r>
      <rPr>
        <sz val="14"/>
        <color rgb="FF6E6E73"/>
        <rFont val="Aptos"/>
        <family val="2"/>
      </rPr>
      <t xml:space="preserve"> This workbook is presentation-ready and navigation-enhanced. For full operational adoption, you may still need organization-specific data completion and governance approval.</t>
    </r>
  </si>
  <si>
    <t>Cybersecurity GRC</t>
  </si>
  <si>
    <t>Prepard by Mohammed Nawaf</t>
  </si>
  <si>
    <t xml:space="preserve">Scan the QR code to open the profile </t>
  </si>
  <si>
    <t>You may use and share this material, but you may not alter attribution, resell it, or claim it as your own without permission.</t>
  </si>
  <si>
    <t>30+ structured worksheets</t>
  </si>
  <si>
    <t>Integrated registers and traceability</t>
  </si>
  <si>
    <t>Analytics and KPI views</t>
  </si>
  <si>
    <t>Human-friendly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</si>
</sst>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0">
    <font>
      <sz val="11"/>
      <name val="Carlito"/>
    </font>
    <font>
      <b/>
      <sz val="11"/>
      <color rgb="FFFFFFFF"/>
      <name val="Carlito"/>
    </font>
    <font>
      <b/>
      <sz val="11"/>
      <color rgb="FFFFFFFF"/>
      <name val="Aptos"/>
    </font>
    <font>
      <sz val="10"/>
      <name val="Aptos"/>
    </font>
    <font>
      <sz val="10"/>
      <color rgb="FF1D1D1F"/>
      <name val="Aptos"/>
    </font>
    <font>
      <sz val="11"/>
      <color rgb="FF1D1D1F"/>
      <name val="Carlito"/>
    </font>
    <font>
      <b/>
      <sz val="10"/>
      <color rgb="FFFFFFFF"/>
      <name val="Aptos"/>
    </font>
    <font>
      <b/>
      <sz val="10"/>
      <color rgb="FF1D1D1F"/>
      <name val="Aptos"/>
    </font>
    <font>
      <sz val="10"/>
      <color rgb="FF6E6E73"/>
      <name val="Aptos"/>
    </font>
    <font>
      <b/>
      <sz val="15"/>
      <color rgb="FFFFFFFF"/>
      <name val="Aptos"/>
    </font>
    <font>
      <sz val="9"/>
      <color rgb="FF6E6E73"/>
      <name val="Aptos"/>
    </font>
    <font>
      <b/>
      <sz val="12"/>
      <color rgb="FF1D1D1F"/>
      <name val="Aptos"/>
    </font>
    <font>
      <b/>
      <u/>
      <sz val="10"/>
      <color rgb="FF1D1D1F"/>
      <name val="Aptos"/>
    </font>
    <font>
      <b/>
      <sz val="18"/>
      <color rgb="FF1D1D1F"/>
      <name val="Aptos"/>
      <family val="2"/>
    </font>
    <font>
      <sz val="12"/>
      <color rgb="FF1D1D1F"/>
      <name val="Aptos"/>
      <family val="2"/>
    </font>
    <font>
      <sz val="12"/>
      <name val="Carlito"/>
    </font>
    <font>
      <b/>
      <sz val="12"/>
      <color rgb="FFFFFFFF"/>
      <name val="Aptos"/>
      <family val="2"/>
    </font>
    <font>
      <b/>
      <sz val="12"/>
      <color rgb="FF1D1D1F"/>
      <name val="Aptos"/>
      <family val="2"/>
    </font>
    <font>
      <sz val="12"/>
      <color rgb="FF6E6E73"/>
      <name val="Aptos"/>
      <family val="2"/>
    </font>
    <font>
      <sz val="14"/>
      <color rgb="FF1D1D1F"/>
      <name val="Aptos"/>
      <family val="2"/>
    </font>
    <font>
      <sz val="14"/>
      <name val="Carlito"/>
    </font>
    <font>
      <b/>
      <sz val="14"/>
      <color rgb="FFFFFFFF"/>
      <name val="Aptos"/>
      <family val="2"/>
    </font>
    <font>
      <b/>
      <sz val="14"/>
      <color rgb="FF1D1D1F"/>
      <name val="Aptos"/>
      <family val="2"/>
    </font>
    <font>
      <sz val="14"/>
      <color rgb="FF6E6E73"/>
      <name val="Aptos"/>
      <family val="2"/>
    </font>
    <font>
      <sz val="16"/>
      <color rgb="FF1D1D1F"/>
      <name val="Aptos"/>
      <family val="2"/>
    </font>
    <font>
      <sz val="16"/>
      <name val="Carlito"/>
    </font>
    <font>
      <b/>
      <sz val="16"/>
      <color rgb="FFFFFFFF"/>
      <name val="Aptos"/>
      <family val="2"/>
    </font>
    <font>
      <b/>
      <sz val="16"/>
      <color rgb="FF1D1D1F"/>
      <name val="Aptos"/>
      <family val="2"/>
    </font>
    <font>
      <sz val="16"/>
      <color rgb="FF6E6E73"/>
      <name val="Aptos"/>
      <family val="2"/>
    </font>
    <font>
      <sz val="18"/>
      <color rgb="FF1D1D1F"/>
      <name val="Aptos"/>
      <family val="2"/>
    </font>
    <font>
      <sz val="18"/>
      <name val="Carlito"/>
    </font>
    <font>
      <b/>
      <sz val="18"/>
      <color rgb="FFFFFFFF"/>
      <name val="Aptos"/>
      <family val="2"/>
    </font>
    <font>
      <sz val="18"/>
      <color rgb="FF6E6E73"/>
      <name val="Aptos"/>
      <family val="2"/>
    </font>
    <font>
      <sz val="18"/>
      <color rgb="FF2C2C2E"/>
      <name val="Aptos"/>
      <family val="2"/>
    </font>
    <font>
      <u/>
      <sz val="18"/>
      <color rgb="FF1D1D1F"/>
      <name val="Aptos"/>
      <family val="2"/>
    </font>
    <font>
      <i/>
      <sz val="18"/>
      <color rgb="FF2C2C2E"/>
      <name val="Aptos"/>
      <family val="2"/>
    </font>
    <font>
      <b/>
      <u/>
      <sz val="12"/>
      <color rgb="FF1D1D1F"/>
      <name val="Aptos"/>
      <family val="2"/>
    </font>
    <font>
      <b/>
      <sz val="16"/>
      <color rgb="FFFFFFFF"/>
      <name val="Amasis MT Pro Medium"/>
      <family val="1"/>
    </font>
    <font>
      <sz val="11"/>
      <name val="Amasis MT Pro Medium"/>
      <family val="1"/>
    </font>
    <font>
      <b/>
      <u/>
      <sz val="10"/>
      <color rgb="FF1D1D1F"/>
      <name val="Amasis MT Pro Medium"/>
      <family val="1"/>
    </font>
    <font>
      <sz val="10"/>
      <color rgb="FF1D1D1F"/>
      <name val="Amasis MT Pro Medium"/>
      <family val="1"/>
    </font>
    <font>
      <b/>
      <sz val="13"/>
      <color rgb="FF1D1D1F"/>
      <name val="Amasis MT Pro Medium"/>
      <family val="1"/>
    </font>
    <font>
      <sz val="10"/>
      <color rgb="FF6E6E73"/>
      <name val="Amasis MT Pro Medium"/>
      <family val="1"/>
    </font>
    <font>
      <sz val="10"/>
      <color rgb="FFC00000"/>
      <name val="Amasis MT Pro Medium"/>
      <family val="1"/>
    </font>
    <font>
      <b/>
      <u/>
      <sz val="14"/>
      <color rgb="FF1D1D1F"/>
      <name val="Aptos"/>
      <family val="2"/>
    </font>
    <font>
      <b/>
      <u/>
      <sz val="16"/>
      <color rgb="FF1D1D1F"/>
      <name val="Aptos"/>
      <family val="2"/>
    </font>
    <font>
      <b/>
      <sz val="14"/>
      <color rgb="FFC00000"/>
      <name val="Aptos"/>
      <family val="2"/>
    </font>
    <font>
      <b/>
      <sz val="48"/>
      <color rgb="FF4C0000"/>
      <name val="Amasis MT Pro Black"/>
      <family val="1"/>
    </font>
    <font>
      <b/>
      <i/>
      <sz val="18"/>
      <color rgb="FFC00000"/>
      <name val="Aptos"/>
      <family val="2"/>
    </font>
    <font>
      <b/>
      <sz val="20"/>
      <color rgb="FF4C0000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1D1D1F"/>
      </patternFill>
    </fill>
    <fill>
      <patternFill patternType="solid">
        <fgColor rgb="FFF5F5F7"/>
      </patternFill>
    </fill>
    <fill>
      <patternFill patternType="solid">
        <fgColor rgb="FFFFFFFF"/>
      </patternFill>
    </fill>
    <fill>
      <patternFill patternType="solid">
        <fgColor rgb="FF1D1D1F"/>
      </patternFill>
    </fill>
    <fill>
      <patternFill patternType="solid">
        <fgColor rgb="FFF5F5F7"/>
      </patternFill>
    </fill>
    <fill>
      <patternFill patternType="solid">
        <fgColor rgb="FFFFFFFF"/>
      </patternFill>
    </fill>
    <fill>
      <patternFill patternType="solid">
        <fgColor rgb="FF1D1D1F"/>
      </patternFill>
    </fill>
    <fill>
      <patternFill patternType="solid">
        <fgColor rgb="FFF5F5F7"/>
      </patternFill>
    </fill>
    <fill>
      <patternFill patternType="solid">
        <fgColor rgb="FFFFFFFF"/>
      </patternFill>
    </fill>
    <fill>
      <patternFill patternType="solid">
        <fgColor rgb="FF1D1D1F"/>
      </patternFill>
    </fill>
    <fill>
      <patternFill patternType="solid">
        <fgColor rgb="FFF5F5F7"/>
      </patternFill>
    </fill>
    <fill>
      <patternFill patternType="solid">
        <fgColor rgb="FF2C2C2E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D2D2D7"/>
      </left>
      <right style="thin">
        <color rgb="FFD2D2D7"/>
      </right>
      <top style="thin">
        <color rgb="FFD2D2D7"/>
      </top>
      <bottom style="thin">
        <color rgb="FFD2D2D7"/>
      </bottom>
      <diagonal/>
    </border>
    <border>
      <left style="thin">
        <color rgb="FFD2D2D7"/>
      </left>
      <right/>
      <top/>
      <bottom/>
      <diagonal/>
    </border>
  </borders>
  <cellStyleXfs count="1">
    <xf numFmtId="0" fontId="0" fillId="0" borderId="1"/>
  </cellStyleXfs>
  <cellXfs count="93">
    <xf numFmtId="0" fontId="0" fillId="0" borderId="0" xfId="0" applyBorder="1"/>
    <xf numFmtId="0" fontId="2" fillId="2" borderId="0" xfId="0" applyFont="1" applyFill="1" applyBorder="1" applyAlignment="1">
      <alignment vertical="center"/>
    </xf>
    <xf numFmtId="0" fontId="3" fillId="0" borderId="0" xfId="0" applyFont="1" applyBorder="1"/>
    <xf numFmtId="0" fontId="0" fillId="4" borderId="0" xfId="0" applyFill="1" applyBorder="1"/>
    <xf numFmtId="0" fontId="2" fillId="5" borderId="0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vertical="center"/>
    </xf>
    <xf numFmtId="0" fontId="1" fillId="5" borderId="0" xfId="0" applyFont="1" applyFill="1" applyBorder="1"/>
    <xf numFmtId="0" fontId="4" fillId="6" borderId="0" xfId="0" applyFont="1" applyFill="1" applyBorder="1"/>
    <xf numFmtId="0" fontId="5" fillId="6" borderId="0" xfId="0" applyFont="1" applyFill="1" applyBorder="1"/>
    <xf numFmtId="0" fontId="1" fillId="5" borderId="0" xfId="0" applyFont="1" applyFill="1" applyBorder="1" applyAlignment="1">
      <alignment vertical="center" wrapText="1"/>
    </xf>
    <xf numFmtId="0" fontId="7" fillId="7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1" fontId="4" fillId="7" borderId="0" xfId="0" applyNumberFormat="1" applyFont="1" applyFill="1" applyBorder="1" applyAlignment="1">
      <alignment vertical="center"/>
    </xf>
    <xf numFmtId="0" fontId="6" fillId="8" borderId="0" xfId="0" applyFont="1" applyFill="1" applyBorder="1" applyAlignment="1">
      <alignment vertical="center"/>
    </xf>
    <xf numFmtId="0" fontId="9" fillId="8" borderId="0" xfId="0" applyFont="1" applyFill="1" applyBorder="1" applyAlignment="1">
      <alignment vertical="center"/>
    </xf>
    <xf numFmtId="0" fontId="8" fillId="7" borderId="0" xfId="0" applyFont="1" applyFill="1" applyBorder="1" applyAlignment="1">
      <alignment vertical="center"/>
    </xf>
    <xf numFmtId="0" fontId="10" fillId="7" borderId="0" xfId="0" applyFont="1" applyFill="1" applyBorder="1" applyAlignment="1">
      <alignment vertical="center"/>
    </xf>
    <xf numFmtId="0" fontId="7" fillId="9" borderId="0" xfId="0" applyFont="1" applyFill="1" applyBorder="1" applyAlignment="1">
      <alignment vertical="center"/>
    </xf>
    <xf numFmtId="0" fontId="11" fillId="7" borderId="0" xfId="0" applyFont="1" applyFill="1" applyBorder="1" applyAlignment="1">
      <alignment vertical="center"/>
    </xf>
    <xf numFmtId="164" fontId="11" fillId="7" borderId="0" xfId="0" applyNumberFormat="1" applyFont="1" applyFill="1" applyBorder="1" applyAlignment="1">
      <alignment vertical="center"/>
    </xf>
    <xf numFmtId="1" fontId="11" fillId="7" borderId="0" xfId="0" applyNumberFormat="1" applyFont="1" applyFill="1" applyBorder="1" applyAlignment="1">
      <alignment vertical="center"/>
    </xf>
    <xf numFmtId="0" fontId="12" fillId="12" borderId="2" xfId="0" applyFont="1" applyFill="1" applyBorder="1" applyAlignment="1">
      <alignment horizontal="center" vertical="center"/>
    </xf>
    <xf numFmtId="0" fontId="15" fillId="0" borderId="0" xfId="0" applyFont="1" applyBorder="1"/>
    <xf numFmtId="0" fontId="19" fillId="10" borderId="1" xfId="0" applyFont="1" applyFill="1" applyAlignment="1">
      <alignment vertical="center"/>
    </xf>
    <xf numFmtId="0" fontId="20" fillId="0" borderId="0" xfId="0" applyFont="1" applyBorder="1"/>
    <xf numFmtId="0" fontId="21" fillId="13" borderId="2" xfId="0" applyFont="1" applyFill="1" applyBorder="1" applyAlignment="1">
      <alignment horizontal="center" vertical="center"/>
    </xf>
    <xf numFmtId="0" fontId="25" fillId="0" borderId="0" xfId="0" applyFont="1" applyBorder="1"/>
    <xf numFmtId="0" fontId="29" fillId="10" borderId="1" xfId="0" applyFont="1" applyFill="1" applyAlignment="1">
      <alignment vertical="center"/>
    </xf>
    <xf numFmtId="0" fontId="30" fillId="0" borderId="0" xfId="0" applyFont="1" applyBorder="1"/>
    <xf numFmtId="0" fontId="16" fillId="8" borderId="0" xfId="0" applyFont="1" applyFill="1" applyBorder="1" applyAlignment="1">
      <alignment vertical="center" wrapText="1"/>
    </xf>
    <xf numFmtId="0" fontId="14" fillId="7" borderId="0" xfId="0" applyFont="1" applyFill="1" applyBorder="1" applyAlignment="1">
      <alignment vertical="center" wrapText="1"/>
    </xf>
    <xf numFmtId="0" fontId="16" fillId="8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 wrapText="1"/>
    </xf>
    <xf numFmtId="164" fontId="14" fillId="7" borderId="0" xfId="0" applyNumberFormat="1" applyFont="1" applyFill="1" applyBorder="1" applyAlignment="1">
      <alignment vertical="center" wrapText="1"/>
    </xf>
    <xf numFmtId="0" fontId="37" fillId="8" borderId="0" xfId="0" applyFont="1" applyFill="1" applyBorder="1" applyAlignment="1">
      <alignment vertical="center"/>
    </xf>
    <xf numFmtId="0" fontId="38" fillId="0" borderId="0" xfId="0" applyFont="1" applyBorder="1"/>
    <xf numFmtId="0" fontId="39" fillId="12" borderId="2" xfId="0" applyFont="1" applyFill="1" applyBorder="1" applyAlignment="1">
      <alignment horizontal="center" vertical="center"/>
    </xf>
    <xf numFmtId="0" fontId="40" fillId="7" borderId="0" xfId="0" applyFont="1" applyFill="1" applyBorder="1" applyAlignment="1">
      <alignment vertical="center"/>
    </xf>
    <xf numFmtId="0" fontId="41" fillId="7" borderId="0" xfId="0" applyFont="1" applyFill="1" applyBorder="1" applyAlignment="1">
      <alignment vertical="center"/>
    </xf>
    <xf numFmtId="164" fontId="41" fillId="7" borderId="0" xfId="0" applyNumberFormat="1" applyFont="1" applyFill="1" applyBorder="1" applyAlignment="1">
      <alignment vertical="center"/>
    </xf>
    <xf numFmtId="0" fontId="16" fillId="8" borderId="0" xfId="0" applyFont="1" applyFill="1" applyBorder="1" applyAlignment="1">
      <alignment horizontal="left" vertical="center"/>
    </xf>
    <xf numFmtId="0" fontId="14" fillId="7" borderId="0" xfId="0" applyFont="1" applyFill="1" applyBorder="1" applyAlignment="1">
      <alignment horizontal="left" vertical="center"/>
    </xf>
    <xf numFmtId="0" fontId="14" fillId="7" borderId="0" xfId="0" applyFont="1" applyFill="1" applyBorder="1" applyAlignment="1">
      <alignment vertical="center"/>
    </xf>
    <xf numFmtId="0" fontId="36" fillId="12" borderId="2" xfId="0" applyFont="1" applyFill="1" applyBorder="1" applyAlignment="1">
      <alignment horizontal="center" vertical="center"/>
    </xf>
    <xf numFmtId="0" fontId="17" fillId="7" borderId="0" xfId="0" applyFont="1" applyFill="1" applyBorder="1" applyAlignment="1">
      <alignment vertical="center"/>
    </xf>
    <xf numFmtId="0" fontId="18" fillId="7" borderId="0" xfId="0" applyFont="1" applyFill="1" applyBorder="1" applyAlignment="1">
      <alignment vertical="center"/>
    </xf>
    <xf numFmtId="0" fontId="16" fillId="8" borderId="0" xfId="0" applyFont="1" applyFill="1" applyBorder="1" applyAlignment="1">
      <alignment vertical="center"/>
    </xf>
    <xf numFmtId="0" fontId="17" fillId="7" borderId="0" xfId="0" applyFont="1" applyFill="1" applyBorder="1" applyAlignment="1">
      <alignment vertical="center" wrapText="1"/>
    </xf>
    <xf numFmtId="0" fontId="14" fillId="3" borderId="0" xfId="0" applyFont="1" applyFill="1" applyBorder="1"/>
    <xf numFmtId="0" fontId="26" fillId="8" borderId="0" xfId="0" applyFont="1" applyFill="1" applyBorder="1" applyAlignment="1">
      <alignment vertical="center"/>
    </xf>
    <xf numFmtId="0" fontId="45" fillId="12" borderId="2" xfId="0" applyFont="1" applyFill="1" applyBorder="1" applyAlignment="1">
      <alignment horizontal="center" vertical="center"/>
    </xf>
    <xf numFmtId="0" fontId="28" fillId="7" borderId="0" xfId="0" applyFont="1" applyFill="1" applyBorder="1" applyAlignment="1">
      <alignment vertical="center"/>
    </xf>
    <xf numFmtId="0" fontId="24" fillId="7" borderId="0" xfId="0" applyFont="1" applyFill="1" applyBorder="1" applyAlignment="1">
      <alignment vertical="center"/>
    </xf>
    <xf numFmtId="0" fontId="27" fillId="9" borderId="0" xfId="0" applyFont="1" applyFill="1" applyBorder="1" applyAlignment="1">
      <alignment vertical="center"/>
    </xf>
    <xf numFmtId="1" fontId="24" fillId="7" borderId="0" xfId="0" applyNumberFormat="1" applyFont="1" applyFill="1" applyBorder="1" applyAlignment="1">
      <alignment vertical="center"/>
    </xf>
    <xf numFmtId="0" fontId="22" fillId="12" borderId="2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/>
    </xf>
    <xf numFmtId="0" fontId="44" fillId="10" borderId="2" xfId="0" applyFont="1" applyFill="1" applyBorder="1" applyAlignment="1">
      <alignment vertical="center"/>
    </xf>
    <xf numFmtId="0" fontId="19" fillId="10" borderId="2" xfId="0" applyFont="1" applyFill="1" applyBorder="1" applyAlignment="1">
      <alignment horizontal="left" wrapText="1"/>
    </xf>
    <xf numFmtId="0" fontId="19" fillId="12" borderId="2" xfId="0" applyFont="1" applyFill="1" applyBorder="1" applyAlignment="1">
      <alignment horizontal="center"/>
    </xf>
    <xf numFmtId="0" fontId="44" fillId="12" borderId="2" xfId="0" applyFont="1" applyFill="1" applyBorder="1" applyAlignment="1">
      <alignment vertical="center"/>
    </xf>
    <xf numFmtId="0" fontId="19" fillId="12" borderId="2" xfId="0" applyFont="1" applyFill="1" applyBorder="1" applyAlignment="1">
      <alignment horizontal="left" wrapText="1"/>
    </xf>
    <xf numFmtId="0" fontId="37" fillId="11" borderId="2" xfId="0" applyFont="1" applyFill="1" applyBorder="1" applyAlignment="1">
      <alignment horizontal="center" vertical="center"/>
    </xf>
    <xf numFmtId="0" fontId="30" fillId="0" borderId="1" xfId="0" applyFont="1"/>
    <xf numFmtId="0" fontId="31" fillId="13" borderId="2" xfId="0" applyFont="1" applyFill="1" applyBorder="1" applyAlignment="1">
      <alignment horizontal="center" vertical="center"/>
    </xf>
    <xf numFmtId="0" fontId="30" fillId="0" borderId="0" xfId="0" applyFont="1" applyBorder="1"/>
    <xf numFmtId="0" fontId="13" fillId="10" borderId="2" xfId="0" applyFont="1" applyFill="1" applyBorder="1" applyAlignment="1">
      <alignment horizontal="left" vertical="center"/>
    </xf>
    <xf numFmtId="0" fontId="47" fillId="10" borderId="1" xfId="0" applyFont="1" applyFill="1" applyAlignment="1">
      <alignment horizontal="left" vertical="center" wrapText="1"/>
    </xf>
    <xf numFmtId="0" fontId="31" fillId="13" borderId="1" xfId="0" applyFont="1" applyFill="1" applyAlignment="1">
      <alignment horizontal="center" vertical="center"/>
    </xf>
    <xf numFmtId="0" fontId="32" fillId="10" borderId="1" xfId="0" applyFont="1" applyFill="1" applyAlignment="1">
      <alignment horizontal="left" vertical="center" wrapText="1"/>
    </xf>
    <xf numFmtId="0" fontId="32" fillId="10" borderId="1" xfId="0" applyFont="1" applyFill="1" applyAlignment="1">
      <alignment horizontal="center" vertical="center"/>
    </xf>
    <xf numFmtId="0" fontId="34" fillId="10" borderId="2" xfId="0" applyFont="1" applyFill="1" applyBorder="1" applyAlignment="1">
      <alignment horizontal="left" vertical="center"/>
    </xf>
    <xf numFmtId="0" fontId="29" fillId="10" borderId="1" xfId="0" applyFont="1" applyFill="1" applyAlignment="1">
      <alignment horizontal="left" vertical="center"/>
    </xf>
    <xf numFmtId="0" fontId="48" fillId="12" borderId="1" xfId="0" applyFont="1" applyFill="1" applyAlignment="1">
      <alignment horizontal="center" vertical="center" wrapText="1"/>
    </xf>
    <xf numFmtId="0" fontId="35" fillId="12" borderId="1" xfId="0" applyFont="1" applyFill="1" applyAlignment="1">
      <alignment horizontal="center" vertical="center" wrapText="1"/>
    </xf>
    <xf numFmtId="0" fontId="13" fillId="12" borderId="3" xfId="0" applyFont="1" applyFill="1" applyBorder="1" applyAlignment="1">
      <alignment horizontal="left" vertical="center"/>
    </xf>
    <xf numFmtId="0" fontId="13" fillId="12" borderId="1" xfId="0" applyFont="1" applyFill="1" applyAlignment="1">
      <alignment horizontal="left" vertical="center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left" vertical="center"/>
    </xf>
    <xf numFmtId="0" fontId="29" fillId="10" borderId="2" xfId="0" applyFont="1" applyFill="1" applyBorder="1" applyAlignment="1">
      <alignment horizontal="left" vertical="center"/>
    </xf>
    <xf numFmtId="0" fontId="49" fillId="10" borderId="1" xfId="0" applyFont="1" applyFill="1" applyAlignment="1">
      <alignment horizontal="left" vertical="center"/>
    </xf>
    <xf numFmtId="0" fontId="33" fillId="10" borderId="1" xfId="0" applyFont="1" applyFill="1" applyAlignment="1">
      <alignment horizontal="left" vertical="center"/>
    </xf>
    <xf numFmtId="0" fontId="32" fillId="10" borderId="1" xfId="0" applyFont="1" applyFill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/>
    </xf>
    <xf numFmtId="0" fontId="20" fillId="0" borderId="1" xfId="0" applyFont="1"/>
    <xf numFmtId="0" fontId="23" fillId="12" borderId="2" xfId="0" applyFont="1" applyFill="1" applyBorder="1" applyAlignment="1">
      <alignment horizontal="left" vertical="center" wrapText="1"/>
    </xf>
    <xf numFmtId="0" fontId="20" fillId="0" borderId="0" xfId="0" applyFont="1" applyBorder="1"/>
    <xf numFmtId="0" fontId="21" fillId="11" borderId="2" xfId="0" applyFont="1" applyFill="1" applyBorder="1" applyAlignment="1">
      <alignment horizontal="center" vertical="center"/>
    </xf>
    <xf numFmtId="0" fontId="23" fillId="10" borderId="1" xfId="0" applyFont="1" applyFill="1" applyAlignment="1">
      <alignment horizontal="left" vertical="center" wrapText="1"/>
    </xf>
    <xf numFmtId="0" fontId="37" fillId="8" borderId="1" xfId="0" applyFont="1" applyFill="1" applyAlignment="1">
      <alignment vertical="center"/>
    </xf>
    <xf numFmtId="0" fontId="38" fillId="0" borderId="1" xfId="0" applyFont="1"/>
    <xf numFmtId="0" fontId="42" fillId="7" borderId="1" xfId="0" applyFont="1" applyFill="1" applyAlignment="1">
      <alignment vertical="center" wrapText="1"/>
    </xf>
    <xf numFmtId="0" fontId="38" fillId="0" borderId="0" xfId="0" applyFont="1" applyBorder="1"/>
  </cellXfs>
  <cellStyles count="1">
    <cellStyle name="Normal" xfId="0" builtinId="0"/>
  </cellStyles>
  <dxfs count="252"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ill>
        <patternFill>
          <bgColor rgb="FFF5F5F7"/>
        </patternFill>
      </fill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</dxfs>
  <tableStyles count="0" defaultTableStyle="TableStyleMedium2" defaultPivotStyle="PivotStyleLight16"/>
  <colors>
    <mruColors>
      <color rgb="FF4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Records</c:v>
          </c:tx>
          <c:spPr>
            <a:solidFill>
              <a:srgbClr val="55565A"/>
            </a:solidFill>
            <a:ln w="6668">
              <a:solidFill>
                <a:srgbClr val="55565A"/>
              </a:solidFill>
              <a:prstDash val="solid"/>
            </a:ln>
          </c:spPr>
          <c:invertIfNegative val="1"/>
          <c:cat>
            <c:strRef>
              <c:f>'Compliance Analytics'!$A$6:$A$11</c:f>
              <c:strCache>
                <c:ptCount val="6"/>
                <c:pt idx="0">
                  <c:v>Compliant</c:v>
                </c:pt>
                <c:pt idx="1">
                  <c:v>Partially Compliant</c:v>
                </c:pt>
                <c:pt idx="2">
                  <c:v>Non-Compliant</c:v>
                </c:pt>
                <c:pt idx="3">
                  <c:v>Not Assessed</c:v>
                </c:pt>
                <c:pt idx="4">
                  <c:v>Unable to Verify</c:v>
                </c:pt>
                <c:pt idx="5">
                  <c:v>Not Applicable</c:v>
                </c:pt>
              </c:strCache>
            </c:strRef>
          </c:cat>
          <c:val>
            <c:numRef>
              <c:f>'Compliance Analytics'!$B$6:$B$11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6668">
                    <a:solidFill>
                      <a:srgbClr val="55565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DD6-46AD-A79B-4DDD8B623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Records</c:v>
          </c:tx>
          <c:spPr>
            <a:solidFill>
              <a:srgbClr val="55565A"/>
            </a:solidFill>
            <a:ln w="6668">
              <a:solidFill>
                <a:srgbClr val="55565A"/>
              </a:solidFill>
              <a:prstDash val="solid"/>
            </a:ln>
          </c:spPr>
          <c:invertIfNegative val="1"/>
          <c:cat>
            <c:strRef>
              <c:f>'Compliance Analytics'!$A$16:$A$19</c:f>
              <c:strCache>
                <c:ptCount val="4"/>
                <c:pt idx="0">
                  <c:v>Verified</c:v>
                </c:pt>
                <c:pt idx="1">
                  <c:v>Not Verified</c:v>
                </c:pt>
                <c:pt idx="2">
                  <c:v>Pending Review</c:v>
                </c:pt>
                <c:pt idx="3">
                  <c:v>Rejected</c:v>
                </c:pt>
              </c:strCache>
            </c:strRef>
          </c:cat>
          <c:val>
            <c:numRef>
              <c:f>'Compliance Analytics'!$B$16:$B$19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6668">
                    <a:solidFill>
                      <a:srgbClr val="55565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30-442D-84D8-12CF065AE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Records</c:v>
          </c:tx>
          <c:spPr>
            <a:solidFill>
              <a:srgbClr val="55565A"/>
            </a:solidFill>
            <a:ln w="6668">
              <a:solidFill>
                <a:srgbClr val="55565A"/>
              </a:solidFill>
              <a:prstDash val="solid"/>
            </a:ln>
          </c:spPr>
          <c:invertIfNegative val="1"/>
          <c:cat>
            <c:strRef>
              <c:f>'Compliance Analytics'!$A$26:$A$28</c:f>
              <c:strCache>
                <c:ptCount val="3"/>
                <c:pt idx="0">
                  <c:v>Applicable</c:v>
                </c:pt>
                <c:pt idx="1">
                  <c:v>Not Applicable</c:v>
                </c:pt>
                <c:pt idx="2">
                  <c:v>Pending decision</c:v>
                </c:pt>
              </c:strCache>
            </c:strRef>
          </c:cat>
          <c:val>
            <c:numRef>
              <c:f>'Compliance Analytics'!$B$26:$B$28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6668">
                    <a:solidFill>
                      <a:srgbClr val="55565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D59-43A1-9D26-936BAED1B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Records</c:v>
          </c:tx>
          <c:spPr>
            <a:solidFill>
              <a:srgbClr val="55565A"/>
            </a:solidFill>
            <a:ln w="6668">
              <a:solidFill>
                <a:srgbClr val="55565A"/>
              </a:solidFill>
              <a:prstDash val="solid"/>
            </a:ln>
          </c:spPr>
          <c:invertIfNegative val="1"/>
          <c:cat>
            <c:strRef>
              <c:f>'Compliance Analytics'!$A$36:$A$38</c:f>
              <c:strCache>
                <c:ptCount val="3"/>
                <c:pt idx="0">
                  <c:v>Verified</c:v>
                </c:pt>
                <c:pt idx="1">
                  <c:v>Unverified</c:v>
                </c:pt>
                <c:pt idx="2">
                  <c:v>Needs Review</c:v>
                </c:pt>
              </c:strCache>
            </c:strRef>
          </c:cat>
          <c:val>
            <c:numRef>
              <c:f>'Compliance Analytics'!$B$36:$B$38</c:f>
              <c:numCache>
                <c:formatCode>0</c:formatCode>
                <c:ptCount val="3"/>
                <c:pt idx="0">
                  <c:v>0</c:v>
                </c:pt>
                <c:pt idx="1">
                  <c:v>8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6668">
                    <a:solidFill>
                      <a:srgbClr val="55565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4AD-4AD1-950B-D351CB89F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Records</c:v>
          </c:tx>
          <c:spPr>
            <a:solidFill>
              <a:srgbClr val="55565A"/>
            </a:solidFill>
            <a:ln w="6668">
              <a:solidFill>
                <a:srgbClr val="55565A"/>
              </a:solidFill>
              <a:prstDash val="solid"/>
            </a:ln>
          </c:spPr>
          <c:invertIfNegative val="1"/>
          <c:cat>
            <c:strRef>
              <c:f>'Risk Analytics'!$A$6:$A$9</c:f>
              <c:strCache>
                <c:ptCount val="4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'Risk Analytics'!$B$6:$B$9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6668">
                    <a:solidFill>
                      <a:srgbClr val="55565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26C-46FA-BC77-DFCE86C06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Records</c:v>
          </c:tx>
          <c:spPr>
            <a:solidFill>
              <a:srgbClr val="55565A"/>
            </a:solidFill>
            <a:ln w="6668">
              <a:solidFill>
                <a:srgbClr val="55565A"/>
              </a:solidFill>
              <a:prstDash val="solid"/>
            </a:ln>
          </c:spPr>
          <c:invertIfNegative val="1"/>
          <c:cat>
            <c:strRef>
              <c:f>'Risk Analytics'!$A$16:$A$21</c:f>
              <c:strCache>
                <c:ptCount val="6"/>
                <c:pt idx="0">
                  <c:v>Regulatory compliance</c:v>
                </c:pt>
                <c:pt idx="1">
                  <c:v>Privacy</c:v>
                </c:pt>
                <c:pt idx="2">
                  <c:v>Cloud security</c:v>
                </c:pt>
                <c:pt idx="3">
                  <c:v>Third-party risk</c:v>
                </c:pt>
                <c:pt idx="4">
                  <c:v>Identity and access management</c:v>
                </c:pt>
                <c:pt idx="5">
                  <c:v>Incident response</c:v>
                </c:pt>
              </c:strCache>
            </c:strRef>
          </c:cat>
          <c:val>
            <c:numRef>
              <c:f>'Risk Analytics'!$B$16:$B$21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6668">
                    <a:solidFill>
                      <a:srgbClr val="55565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D38-41FF-B50A-CD9E62E1E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Records</c:v>
          </c:tx>
          <c:spPr>
            <a:solidFill>
              <a:srgbClr val="55565A"/>
            </a:solidFill>
            <a:ln w="6668">
              <a:solidFill>
                <a:srgbClr val="55565A"/>
              </a:solidFill>
              <a:prstDash val="solid"/>
            </a:ln>
          </c:spPr>
          <c:invertIfNegative val="1"/>
          <c:cat>
            <c:strRef>
              <c:f>'Risk Analytics'!$A$26:$A$29</c:f>
              <c:strCache>
                <c:ptCount val="4"/>
                <c:pt idx="0">
                  <c:v>Mitigate</c:v>
                </c:pt>
                <c:pt idx="1">
                  <c:v>Avoid</c:v>
                </c:pt>
                <c:pt idx="2">
                  <c:v>Transfer</c:v>
                </c:pt>
                <c:pt idx="3">
                  <c:v>Accept</c:v>
                </c:pt>
              </c:strCache>
            </c:strRef>
          </c:cat>
          <c:val>
            <c:numRef>
              <c:f>'Risk Analytics'!$B$26:$B$29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6668">
                    <a:solidFill>
                      <a:srgbClr val="55565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537-4B32-B212-922EA5008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Records</c:v>
          </c:tx>
          <c:spPr>
            <a:solidFill>
              <a:srgbClr val="55565A"/>
            </a:solidFill>
            <a:ln w="6668">
              <a:solidFill>
                <a:srgbClr val="55565A"/>
              </a:solidFill>
              <a:prstDash val="solid"/>
            </a:ln>
          </c:spPr>
          <c:invertIfNegative val="1"/>
          <c:cat>
            <c:strRef>
              <c:f>'Risk Analytics'!$A$36:$A$39</c:f>
              <c:strCache>
                <c:ptCount val="4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'Risk Analytics'!$B$36:$B$39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6668">
                    <a:solidFill>
                      <a:srgbClr val="55565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FB2-4F0C-B794-5751D97A2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Records</c:v>
          </c:tx>
          <c:spPr>
            <a:solidFill>
              <a:srgbClr val="55565A"/>
            </a:solidFill>
            <a:ln w="6668">
              <a:solidFill>
                <a:srgbClr val="55565A"/>
              </a:solidFill>
              <a:prstDash val="solid"/>
            </a:ln>
          </c:spPr>
          <c:invertIfNegative val="1"/>
          <c:cat>
            <c:strRef>
              <c:f>'Operations Analytics'!$A$6:$A$10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  <c:pt idx="3">
                  <c:v>Closed</c:v>
                </c:pt>
                <c:pt idx="4">
                  <c:v>Overdue</c:v>
                </c:pt>
              </c:strCache>
            </c:strRef>
          </c:cat>
          <c:val>
            <c:numRef>
              <c:f>'Operations Analytics'!$B$6:$B$10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6668">
                    <a:solidFill>
                      <a:srgbClr val="55565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BEA-4268-AAFC-5A159882B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Records</c:v>
          </c:tx>
          <c:spPr>
            <a:solidFill>
              <a:srgbClr val="55565A"/>
            </a:solidFill>
            <a:ln w="6668">
              <a:solidFill>
                <a:srgbClr val="55565A"/>
              </a:solidFill>
              <a:prstDash val="solid"/>
            </a:ln>
          </c:spPr>
          <c:invertIfNegative val="1"/>
          <c:cat>
            <c:strRef>
              <c:f>'Operations Analytics'!$A$16:$A$19</c:f>
              <c:strCache>
                <c:ptCount val="4"/>
                <c:pt idx="0">
                  <c:v>Open</c:v>
                </c:pt>
                <c:pt idx="1">
                  <c:v>In Progress</c:v>
                </c:pt>
                <c:pt idx="2">
                  <c:v>Pending Validation</c:v>
                </c:pt>
                <c:pt idx="3">
                  <c:v>Closed</c:v>
                </c:pt>
              </c:strCache>
            </c:strRef>
          </c:cat>
          <c:val>
            <c:numRef>
              <c:f>'Operations Analytics'!$B$16:$B$19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6668">
                    <a:solidFill>
                      <a:srgbClr val="55565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680-4672-9054-7C4889A89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Records</c:v>
          </c:tx>
          <c:spPr>
            <a:solidFill>
              <a:srgbClr val="55565A"/>
            </a:solidFill>
            <a:ln w="6668">
              <a:solidFill>
                <a:srgbClr val="55565A"/>
              </a:solidFill>
              <a:prstDash val="solid"/>
            </a:ln>
          </c:spPr>
          <c:invertIfNegative val="1"/>
          <c:cat>
            <c:strRef>
              <c:f>'Operations Analytics'!$A$26:$A$29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'Operations Analytics'!$B$26:$B$29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6668">
                    <a:solidFill>
                      <a:srgbClr val="55565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401-44A0-B650-6CD150278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Records</c:v>
          </c:tx>
          <c:spPr>
            <a:solidFill>
              <a:srgbClr val="55565A"/>
            </a:solidFill>
            <a:ln w="6668">
              <a:solidFill>
                <a:srgbClr val="55565A"/>
              </a:solidFill>
              <a:prstDash val="solid"/>
            </a:ln>
          </c:spPr>
          <c:invertIfNegative val="1"/>
          <c:cat>
            <c:strRef>
              <c:f>'Operations Analytics'!$A$36:$A$39</c:f>
              <c:strCache>
                <c:ptCount val="4"/>
                <c:pt idx="0">
                  <c:v>Not Assessed</c:v>
                </c:pt>
                <c:pt idx="1">
                  <c:v>In Progress</c:v>
                </c:pt>
                <c:pt idx="2">
                  <c:v>Completed</c:v>
                </c:pt>
                <c:pt idx="3">
                  <c:v>Overdue</c:v>
                </c:pt>
              </c:strCache>
            </c:strRef>
          </c:cat>
          <c:val>
            <c:numRef>
              <c:f>'Operations Analytics'!$B$36:$B$39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6668">
                    <a:solidFill>
                      <a:srgbClr val="55565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4E1-4170-8B6C-E95F8836F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617220</xdr:colOff>
      <xdr:row>6</xdr:row>
      <xdr:rowOff>160020</xdr:rowOff>
    </xdr:from>
    <xdr:ext cx="2072640" cy="20193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590020" y="1805940"/>
          <a:ext cx="2072640" cy="2019300"/>
        </a:xfrm>
        <a:prstGeom prst="rect">
          <a:avLst/>
        </a:prstGeom>
      </xdr:spPr>
    </xdr:pic>
    <xdr:clientData/>
  </xdr:oneCellAnchor>
  <xdr:twoCellAnchor editAs="oneCell">
    <xdr:from>
      <xdr:col>1</xdr:col>
      <xdr:colOff>69273</xdr:colOff>
      <xdr:row>13</xdr:row>
      <xdr:rowOff>193963</xdr:rowOff>
    </xdr:from>
    <xdr:to>
      <xdr:col>4</xdr:col>
      <xdr:colOff>928256</xdr:colOff>
      <xdr:row>19</xdr:row>
      <xdr:rowOff>230429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821EE5-057A-D32C-5345-54A07ED2B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073" y="3796145"/>
          <a:ext cx="4059383" cy="16990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13</xdr:col>
      <xdr:colOff>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13</xdr:col>
      <xdr:colOff>0</xdr:colOff>
      <xdr:row>44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13</xdr:col>
      <xdr:colOff>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13</xdr:col>
      <xdr:colOff>0</xdr:colOff>
      <xdr:row>44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13</xdr:col>
      <xdr:colOff>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13</xdr:col>
      <xdr:colOff>0</xdr:colOff>
      <xdr:row>44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rameworkLibrary" displayName="tblFrameworkLibrary" ref="A1:J121" totalsRowShown="0" headerRowDxfId="251" dataDxfId="250">
  <tableColumns count="10">
    <tableColumn id="1" xr3:uid="{00000000-0010-0000-0000-000001000000}" name="Framework ID" dataDxfId="249"/>
    <tableColumn id="2" xr3:uid="{00000000-0010-0000-0000-000002000000}" name="Framework" dataDxfId="248"/>
    <tableColumn id="3" xr3:uid="{00000000-0010-0000-0000-000003000000}" name="Authority" dataDxfId="247"/>
    <tableColumn id="4" xr3:uid="{00000000-0010-0000-0000-000004000000}" name="Jurisdiction" dataDxfId="246"/>
    <tableColumn id="5" xr3:uid="{00000000-0010-0000-0000-000005000000}" name="Version" dataDxfId="245"/>
    <tableColumn id="6" xr3:uid="{00000000-0010-0000-0000-000006000000}" name="Official Source URL" dataDxfId="244"/>
    <tableColumn id="7" xr3:uid="{00000000-0010-0000-0000-000007000000}" name="Applicability" dataDxfId="243"/>
    <tableColumn id="8" xr3:uid="{00000000-0010-0000-0000-000008000000}" name="Verification Status" dataDxfId="242"/>
    <tableColumn id="9" xr3:uid="{00000000-0010-0000-0000-000009000000}" name="Last Verified" dataDxfId="241"/>
    <tableColumn id="10" xr3:uid="{00000000-0010-0000-0000-00000A000000}" name="Owner" dataDxfId="240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RegulatoryRegister" displayName="tblRegulatoryRegister" ref="A1:H121" totalsRowShown="0" headerRowDxfId="239" dataDxfId="238">
  <tableColumns count="8">
    <tableColumn id="1" xr3:uid="{00000000-0010-0000-0100-000001000000}" name="Obligation ID" dataDxfId="237"/>
    <tableColumn id="2" xr3:uid="{00000000-0010-0000-0100-000002000000}" name="Framework ID" dataDxfId="236"/>
    <tableColumn id="3" xr3:uid="{00000000-0010-0000-0100-000003000000}" name="Requirement Summary" dataDxfId="235"/>
    <tableColumn id="4" xr3:uid="{00000000-0010-0000-0100-000004000000}" name="Applicable?" dataDxfId="234"/>
    <tableColumn id="5" xr3:uid="{00000000-0010-0000-0100-000005000000}" name="Decision Rationale" dataDxfId="233"/>
    <tableColumn id="6" xr3:uid="{00000000-0010-0000-0100-000006000000}" name="Owner" dataDxfId="232"/>
    <tableColumn id="7" xr3:uid="{00000000-0010-0000-0100-000007000000}" name="Review Date" dataDxfId="231"/>
    <tableColumn id="8" xr3:uid="{00000000-0010-0000-0100-000008000000}" name="Status" dataDxfId="230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ontrolLibrary" displayName="tblControlLibrary" ref="A1:J121" totalsRowShown="0" headerRowDxfId="229" dataDxfId="228">
  <tableColumns count="10">
    <tableColumn id="1" xr3:uid="{00000000-0010-0000-0200-000001000000}" name="Control ID" dataDxfId="227"/>
    <tableColumn id="2" xr3:uid="{00000000-0010-0000-0200-000002000000}" name="Framework ID" dataDxfId="226"/>
    <tableColumn id="3" xr3:uid="{00000000-0010-0000-0200-000003000000}" name="Original Reference" dataDxfId="225"/>
    <tableColumn id="4" xr3:uid="{00000000-0010-0000-0200-000004000000}" name="Control Title" dataDxfId="224"/>
    <tableColumn id="5" xr3:uid="{00000000-0010-0000-0200-000005000000}" name="Domain" dataDxfId="223"/>
    <tableColumn id="6" xr3:uid="{00000000-0010-0000-0200-000006000000}" name="Owner" dataDxfId="222"/>
    <tableColumn id="7" xr3:uid="{00000000-0010-0000-0200-000007000000}" name="Applicability" dataDxfId="221"/>
    <tableColumn id="8" xr3:uid="{00000000-0010-0000-0200-000008000000}" name="Implementation Status" dataDxfId="220"/>
    <tableColumn id="9" xr3:uid="{00000000-0010-0000-0200-000009000000}" name="Assessment Frequency" dataDxfId="219"/>
    <tableColumn id="10" xr3:uid="{00000000-0010-0000-0200-00000A000000}" name="Required Evidence" dataDxfId="218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Assessments" displayName="tblAssessments" ref="A1:H121" totalsRowShown="0" headerRowDxfId="217" dataDxfId="216">
  <tableColumns count="8">
    <tableColumn id="1" xr3:uid="{00000000-0010-0000-0300-000001000000}" name="Assessment ID" dataDxfId="215"/>
    <tableColumn id="2" xr3:uid="{00000000-0010-0000-0300-000002000000}" name="Control ID" dataDxfId="214"/>
    <tableColumn id="3" xr3:uid="{00000000-0010-0000-0300-000003000000}" name="Period" dataDxfId="213"/>
    <tableColumn id="4" xr3:uid="{00000000-0010-0000-0300-000004000000}" name="Assessor" dataDxfId="212"/>
    <tableColumn id="5" xr3:uid="{00000000-0010-0000-0300-000005000000}" name="Result" dataDxfId="211"/>
    <tableColumn id="6" xr3:uid="{00000000-0010-0000-0300-000006000000}" name="Evidence ID" dataDxfId="210"/>
    <tableColumn id="7" xr3:uid="{00000000-0010-0000-0300-000007000000}" name="Assessment Date" dataDxfId="209"/>
    <tableColumn id="8" xr3:uid="{00000000-0010-0000-0300-000008000000}" name="Notes" dataDxfId="208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EvidenceRegister" displayName="tblEvidenceRegister" ref="A1:I121" totalsRowShown="0" headerRowDxfId="207" dataDxfId="206">
  <tableColumns count="9">
    <tableColumn id="1" xr3:uid="{00000000-0010-0000-0400-000001000000}" name="Evidence ID" dataDxfId="205"/>
    <tableColumn id="2" xr3:uid="{00000000-0010-0000-0400-000002000000}" name="Control ID" dataDxfId="204"/>
    <tableColumn id="3" xr3:uid="{00000000-0010-0000-0400-000003000000}" name="Reference Location" dataDxfId="203"/>
    <tableColumn id="4" xr3:uid="{00000000-0010-0000-0400-000004000000}" name="Owner" dataDxfId="202"/>
    <tableColumn id="5" xr3:uid="{00000000-0010-0000-0400-000005000000}" name="Classification" dataDxfId="201"/>
    <tableColumn id="6" xr3:uid="{00000000-0010-0000-0400-000006000000}" name="Collected Date" dataDxfId="200"/>
    <tableColumn id="7" xr3:uid="{00000000-0010-0000-0400-000007000000}" name="Expiry Date" dataDxfId="199"/>
    <tableColumn id="8" xr3:uid="{00000000-0010-0000-0400-000008000000}" name="Review Status" dataDxfId="198"/>
    <tableColumn id="9" xr3:uid="{00000000-0010-0000-0400-000009000000}" name="Validity" dataDxfId="197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RiskRegister" displayName="tblRiskRegister" ref="A1:M121" totalsRowShown="0" headerRowDxfId="196" dataDxfId="195">
  <tableColumns count="13">
    <tableColumn id="1" xr3:uid="{00000000-0010-0000-0500-000001000000}" name="Risk ID" dataDxfId="194"/>
    <tableColumn id="2" xr3:uid="{00000000-0010-0000-0500-000002000000}" name="Risk Description" dataDxfId="193"/>
    <tableColumn id="3" xr3:uid="{00000000-0010-0000-0500-000003000000}" name="Category" dataDxfId="192"/>
    <tableColumn id="4" xr3:uid="{00000000-0010-0000-0500-000004000000}" name="Owner" dataDxfId="191"/>
    <tableColumn id="5" xr3:uid="{00000000-0010-0000-0500-000005000000}" name="Inherent Likelihood" dataDxfId="190"/>
    <tableColumn id="6" xr3:uid="{00000000-0010-0000-0500-000006000000}" name="Inherent Impact" dataDxfId="189"/>
    <tableColumn id="7" xr3:uid="{00000000-0010-0000-0500-000007000000}" name="Inherent Score" dataDxfId="188"/>
    <tableColumn id="8" xr3:uid="{00000000-0010-0000-0500-000008000000}" name="Residual Likelihood" dataDxfId="187"/>
    <tableColumn id="9" xr3:uid="{00000000-0010-0000-0500-000009000000}" name="Residual Impact" dataDxfId="186"/>
    <tableColumn id="10" xr3:uid="{00000000-0010-0000-0500-00000A000000}" name="Residual Score" dataDxfId="185"/>
    <tableColumn id="11" xr3:uid="{00000000-0010-0000-0500-00000B000000}" name="Residual Rating" dataDxfId="184"/>
    <tableColumn id="12" xr3:uid="{00000000-0010-0000-0500-00000C000000}" name="Treatment" dataDxfId="183"/>
    <tableColumn id="13" xr3:uid="{00000000-0010-0000-0500-00000D000000}" name="Review Date" dataDxfId="182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RiskTreatments" displayName="tblRiskTreatments" ref="A1:H121" totalsRowShown="0" headerRowDxfId="181" dataDxfId="180">
  <tableColumns count="8">
    <tableColumn id="1" xr3:uid="{00000000-0010-0000-0600-000001000000}" name="Treatment ID" dataDxfId="179"/>
    <tableColumn id="2" xr3:uid="{00000000-0010-0000-0600-000002000000}" name="Risk ID" dataDxfId="178"/>
    <tableColumn id="3" xr3:uid="{00000000-0010-0000-0600-000003000000}" name="Treatment Choice" dataDxfId="177"/>
    <tableColumn id="4" xr3:uid="{00000000-0010-0000-0600-000004000000}" name="Owner" dataDxfId="176"/>
    <tableColumn id="5" xr3:uid="{00000000-0010-0000-0600-000005000000}" name="Due Date" dataDxfId="175"/>
    <tableColumn id="6" xr3:uid="{00000000-0010-0000-0600-000006000000}" name="Status" dataDxfId="174"/>
    <tableColumn id="7" xr3:uid="{00000000-0010-0000-0600-000007000000}" name="Evidence ID" dataDxfId="173"/>
    <tableColumn id="8" xr3:uid="{00000000-0010-0000-0600-000008000000}" name="Validation" dataDxfId="172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AuditFindings" displayName="tblAuditFindings" ref="A1:K121" totalsRowShown="0" headerRowDxfId="171" dataDxfId="170">
  <tableColumns count="11">
    <tableColumn id="1" xr3:uid="{00000000-0010-0000-0700-000001000000}" name="Finding ID" dataDxfId="169"/>
    <tableColumn id="2" xr3:uid="{00000000-0010-0000-0700-000002000000}" name="Audit ID" dataDxfId="168"/>
    <tableColumn id="3" xr3:uid="{00000000-0010-0000-0700-000003000000}" name="Control ID" dataDxfId="167"/>
    <tableColumn id="4" xr3:uid="{00000000-0010-0000-0700-000004000000}" name="Condition" dataDxfId="166"/>
    <tableColumn id="5" xr3:uid="{00000000-0010-0000-0700-000005000000}" name="Root Cause" dataDxfId="165"/>
    <tableColumn id="6" xr3:uid="{00000000-0010-0000-0700-000006000000}" name="Severity" dataDxfId="164"/>
    <tableColumn id="7" xr3:uid="{00000000-0010-0000-0700-000007000000}" name="Owner" dataDxfId="163"/>
    <tableColumn id="8" xr3:uid="{00000000-0010-0000-0700-000008000000}" name="Due Date" dataDxfId="162"/>
    <tableColumn id="9" xr3:uid="{00000000-0010-0000-0700-000009000000}" name="Status" dataDxfId="161"/>
    <tableColumn id="10" xr3:uid="{00000000-0010-0000-0700-00000A000000}" name="Validation" dataDxfId="160"/>
    <tableColumn id="11" xr3:uid="{00000000-0010-0000-0700-00000B000000}" name="Days Overdue" dataDxfId="159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CorrectiveActions" displayName="tblCorrectiveActions" ref="A1:J121" totalsRowShown="0" headerRowDxfId="158" dataDxfId="157">
  <tableColumns count="10">
    <tableColumn id="1" xr3:uid="{00000000-0010-0000-0800-000001000000}" name="Action ID" dataDxfId="156"/>
    <tableColumn id="2" xr3:uid="{00000000-0010-0000-0800-000002000000}" name="Finding ID" dataDxfId="155"/>
    <tableColumn id="3" xr3:uid="{00000000-0010-0000-0800-000003000000}" name="Risk ID" dataDxfId="154"/>
    <tableColumn id="4" xr3:uid="{00000000-0010-0000-0800-000004000000}" name="Action Description" dataDxfId="153"/>
    <tableColumn id="5" xr3:uid="{00000000-0010-0000-0800-000005000000}" name="Owner" dataDxfId="152"/>
    <tableColumn id="6" xr3:uid="{00000000-0010-0000-0800-000006000000}" name="Due Date" dataDxfId="151"/>
    <tableColumn id="7" xr3:uid="{00000000-0010-0000-0800-000007000000}" name="Status" dataDxfId="150"/>
    <tableColumn id="8" xr3:uid="{00000000-0010-0000-0800-000008000000}" name="Evidence ID" dataDxfId="149"/>
    <tableColumn id="9" xr3:uid="{00000000-0010-0000-0800-000009000000}" name="Validation" dataDxfId="148"/>
    <tableColumn id="10" xr3:uid="{00000000-0010-0000-0800-00000A000000}" name="Days Overdue" dataDxfId="147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ComplianceExceptions" displayName="tblComplianceExceptions" ref="A1:G121" totalsRowShown="0" headerRowDxfId="146" dataDxfId="145">
  <tableColumns count="7">
    <tableColumn id="1" xr3:uid="{00000000-0010-0000-0900-000001000000}" name="Exception ID" dataDxfId="144"/>
    <tableColumn id="2" xr3:uid="{00000000-0010-0000-0900-000002000000}" name="Control ID" dataDxfId="143"/>
    <tableColumn id="3" xr3:uid="{00000000-0010-0000-0900-000003000000}" name="Rationale" dataDxfId="142"/>
    <tableColumn id="4" xr3:uid="{00000000-0010-0000-0900-000004000000}" name="Approver" dataDxfId="141"/>
    <tableColumn id="5" xr3:uid="{00000000-0010-0000-0900-000005000000}" name="Expiration Date" dataDxfId="140"/>
    <tableColumn id="6" xr3:uid="{00000000-0010-0000-0900-000006000000}" name="Status" dataDxfId="139"/>
    <tableColumn id="7" xr3:uid="{00000000-0010-0000-0900-000007000000}" name="Expiry Alert" dataDxfId="138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ThirdParties" displayName="tblThirdParties" ref="A1:H121" totalsRowShown="0" headerRowDxfId="137" dataDxfId="136">
  <tableColumns count="8">
    <tableColumn id="1" xr3:uid="{00000000-0010-0000-0A00-000001000000}" name="Supplier ID" dataDxfId="135"/>
    <tableColumn id="2" xr3:uid="{00000000-0010-0000-0A00-000002000000}" name="Supplier Name" dataDxfId="134"/>
    <tableColumn id="3" xr3:uid="{00000000-0010-0000-0A00-000003000000}" name="Service" dataDxfId="133"/>
    <tableColumn id="4" xr3:uid="{00000000-0010-0000-0A00-000004000000}" name="Criticality" dataDxfId="132"/>
    <tableColumn id="5" xr3:uid="{00000000-0010-0000-0A00-000005000000}" name="Owner" dataDxfId="131"/>
    <tableColumn id="6" xr3:uid="{00000000-0010-0000-0A00-000006000000}" name="Assessment Date" dataDxfId="130"/>
    <tableColumn id="7" xr3:uid="{00000000-0010-0000-0A00-000007000000}" name="Assessment Status" dataDxfId="129"/>
    <tableColumn id="8" xr3:uid="{00000000-0010-0000-0A00-000008000000}" name="Next Review" dataDxfId="128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PrivacyGovernance" displayName="tblPrivacyGovernance" ref="A1:I121" totalsRowShown="0" headerRowDxfId="127" dataDxfId="126">
  <tableColumns count="9">
    <tableColumn id="1" xr3:uid="{00000000-0010-0000-0B00-000001000000}" name="Processing ID" dataDxfId="125"/>
    <tableColumn id="2" xr3:uid="{00000000-0010-0000-0B00-000002000000}" name="Processing Activity" dataDxfId="124"/>
    <tableColumn id="3" xr3:uid="{00000000-0010-0000-0B00-000003000000}" name="Data Category" dataDxfId="123"/>
    <tableColumn id="4" xr3:uid="{00000000-0010-0000-0B00-000004000000}" name="Purpose" dataDxfId="122"/>
    <tableColumn id="5" xr3:uid="{00000000-0010-0000-0B00-000005000000}" name="Owner" dataDxfId="121"/>
    <tableColumn id="6" xr3:uid="{00000000-0010-0000-0B00-000006000000}" name="Legal Review" dataDxfId="120"/>
    <tableColumn id="7" xr3:uid="{00000000-0010-0000-0B00-000007000000}" name="Retention" dataDxfId="119"/>
    <tableColumn id="8" xr3:uid="{00000000-0010-0000-0B00-000008000000}" name="Transfer Review" dataDxfId="118"/>
    <tableColumn id="9" xr3:uid="{00000000-0010-0000-0B00-000009000000}" name="Assessment Status" dataDxfId="117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Policies" displayName="tblPolicies" ref="A1:F121" totalsRowShown="0" headerRowDxfId="116" dataDxfId="115">
  <tableColumns count="6">
    <tableColumn id="1" xr3:uid="{00000000-0010-0000-0C00-000001000000}" name="Policy ID" dataDxfId="114"/>
    <tableColumn id="2" xr3:uid="{00000000-0010-0000-0C00-000002000000}" name="Policy Name" dataDxfId="113"/>
    <tableColumn id="3" xr3:uid="{00000000-0010-0000-0C00-000003000000}" name="Owner" dataDxfId="112"/>
    <tableColumn id="4" xr3:uid="{00000000-0010-0000-0C00-000004000000}" name="Approved Date" dataDxfId="111"/>
    <tableColumn id="5" xr3:uid="{00000000-0010-0000-0C00-000005000000}" name="Next Review" dataDxfId="110"/>
    <tableColumn id="6" xr3:uid="{00000000-0010-0000-0C00-000006000000}" name="Status" dataDxfId="109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Incidents" displayName="tblIncidents" ref="A1:H121" totalsRowShown="0" headerRowDxfId="108" dataDxfId="107">
  <tableColumns count="8">
    <tableColumn id="1" xr3:uid="{00000000-0010-0000-0D00-000001000000}" name="Incident ID" dataDxfId="106"/>
    <tableColumn id="2" xr3:uid="{00000000-0010-0000-0D00-000002000000}" name="Incident Description" dataDxfId="105"/>
    <tableColumn id="3" xr3:uid="{00000000-0010-0000-0D00-000003000000}" name="Severity" dataDxfId="104"/>
    <tableColumn id="4" xr3:uid="{00000000-0010-0000-0D00-000004000000}" name="Owner" dataDxfId="103"/>
    <tableColumn id="5" xr3:uid="{00000000-0010-0000-0D00-000005000000}" name="Opened Date" dataDxfId="102"/>
    <tableColumn id="6" xr3:uid="{00000000-0010-0000-0D00-000006000000}" name="Status" dataDxfId="101"/>
    <tableColumn id="7" xr3:uid="{00000000-0010-0000-0D00-000007000000}" name="Closure Date" dataDxfId="100"/>
    <tableColumn id="8" xr3:uid="{00000000-0010-0000-0D00-000008000000}" name="Lessons Learned" dataDxfId="99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BusinessContinuity" displayName="tblBusinessContinuity" ref="A1:H121" totalsRowShown="0" headerRowDxfId="98" dataDxfId="97">
  <tableColumns count="8">
    <tableColumn id="1" xr3:uid="{00000000-0010-0000-0E00-000001000000}" name="Plan ID" dataDxfId="96"/>
    <tableColumn id="2" xr3:uid="{00000000-0010-0000-0E00-000002000000}" name="Critical Service" dataDxfId="95"/>
    <tableColumn id="3" xr3:uid="{00000000-0010-0000-0E00-000003000000}" name="Owner" dataDxfId="94"/>
    <tableColumn id="4" xr3:uid="{00000000-0010-0000-0E00-000004000000}" name="RTO Hours" dataDxfId="93"/>
    <tableColumn id="5" xr3:uid="{00000000-0010-0000-0E00-000005000000}" name="RPO Hours" dataDxfId="92"/>
    <tableColumn id="6" xr3:uid="{00000000-0010-0000-0E00-000006000000}" name="Last Test" dataDxfId="91"/>
    <tableColumn id="7" xr3:uid="{00000000-0010-0000-0E00-000007000000}" name="Next Test" dataDxfId="90"/>
    <tableColumn id="8" xr3:uid="{00000000-0010-0000-0E00-000008000000}" name="Status" dataDxfId="89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KPICatalogue" displayName="tblKPICatalogue" ref="A1:H121" totalsRowShown="0" headerRowDxfId="88" dataDxfId="87">
  <tableColumns count="8">
    <tableColumn id="1" xr3:uid="{00000000-0010-0000-0F00-000001000000}" name="Metric ID" dataDxfId="86"/>
    <tableColumn id="2" xr3:uid="{00000000-0010-0000-0F00-000002000000}" name="Metric" dataDxfId="85"/>
    <tableColumn id="3" xr3:uid="{00000000-0010-0000-0F00-000003000000}" name="Definition" dataDxfId="84"/>
    <tableColumn id="4" xr3:uid="{00000000-0010-0000-0F00-000004000000}" name="Numerator" dataDxfId="83"/>
    <tableColumn id="5" xr3:uid="{00000000-0010-0000-0F00-000005000000}" name="Denominator" dataDxfId="82"/>
    <tableColumn id="6" xr3:uid="{00000000-0010-0000-0F00-000006000000}" name="Owner" dataDxfId="81"/>
    <tableColumn id="7" xr3:uid="{00000000-0010-0000-0F00-000007000000}" name="Frequency" dataDxfId="80"/>
    <tableColumn id="8" xr3:uid="{00000000-0010-0000-0F00-000008000000}" name="Target" dataDxfId="79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KPIResults" displayName="tblKPIResults" ref="A1:G121" totalsRowShown="0" headerRowDxfId="78" dataDxfId="77">
  <tableColumns count="7">
    <tableColumn id="1" xr3:uid="{00000000-0010-0000-1000-000001000000}" name="Result ID" dataDxfId="76"/>
    <tableColumn id="2" xr3:uid="{00000000-0010-0000-1000-000002000000}" name="Metric ID" dataDxfId="75"/>
    <tableColumn id="3" xr3:uid="{00000000-0010-0000-1000-000003000000}" name="Reporting Period" dataDxfId="74"/>
    <tableColumn id="4" xr3:uid="{00000000-0010-0000-1000-000004000000}" name="Numerator" dataDxfId="73"/>
    <tableColumn id="5" xr3:uid="{00000000-0010-0000-1000-000005000000}" name="Denominator" dataDxfId="72"/>
    <tableColumn id="6" xr3:uid="{00000000-0010-0000-1000-000006000000}" name="Result" dataDxfId="71"/>
    <tableColumn id="7" xr3:uid="{00000000-0010-0000-1000-000007000000}" name="Quality Status" dataDxfId="70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Crosswalk" displayName="tblCrosswalk" ref="A1:H121" totalsRowShown="0" headerRowDxfId="69" dataDxfId="68">
  <tableColumns count="8">
    <tableColumn id="1" xr3:uid="{00000000-0010-0000-1100-000001000000}" name="Mapping ID" dataDxfId="67"/>
    <tableColumn id="2" xr3:uid="{00000000-0010-0000-1100-000002000000}" name="Source Control" dataDxfId="66"/>
    <tableColumn id="3" xr3:uid="{00000000-0010-0000-1100-000003000000}" name="Target Control" dataDxfId="65"/>
    <tableColumn id="4" xr3:uid="{00000000-0010-0000-1100-000004000000}" name="Mapping Type" dataDxfId="64"/>
    <tableColumn id="5" xr3:uid="{00000000-0010-0000-1100-000005000000}" name="Rationale" dataDxfId="63"/>
    <tableColumn id="6" xr3:uid="{00000000-0010-0000-1100-000006000000}" name="Reviewer" dataDxfId="62"/>
    <tableColumn id="7" xr3:uid="{00000000-0010-0000-1100-000007000000}" name="Verification Date" dataDxfId="61"/>
    <tableColumn id="8" xr3:uid="{00000000-0010-0000-1100-000008000000}" name="Confidence" dataDxfId="60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RegulatoryReviewQueue" displayName="tblRegulatoryReviewQueue" ref="A1:H121" totalsRowShown="0" headerRowDxfId="59" dataDxfId="58">
  <tableColumns count="8">
    <tableColumn id="1" xr3:uid="{00000000-0010-0000-1200-000001000000}" name="Review ID" dataDxfId="57"/>
    <tableColumn id="2" xr3:uid="{00000000-0010-0000-1200-000002000000}" name="Source" dataDxfId="56"/>
    <tableColumn id="3" xr3:uid="{00000000-0010-0000-1200-000003000000}" name="Official URL" dataDxfId="55"/>
    <tableColumn id="4" xr3:uid="{00000000-0010-0000-1200-000004000000}" name="Owner" dataDxfId="54"/>
    <tableColumn id="5" xr3:uid="{00000000-0010-0000-1200-000005000000}" name="Review Frequency" dataDxfId="53"/>
    <tableColumn id="6" xr3:uid="{00000000-0010-0000-1200-000006000000}" name="Last Checked" dataDxfId="52"/>
    <tableColumn id="7" xr3:uid="{00000000-0010-0000-1200-000007000000}" name="Next Review" dataDxfId="51"/>
    <tableColumn id="8" xr3:uid="{00000000-0010-0000-1200-000008000000}" name="Verification Status" dataDxfId="50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RiskHistory" displayName="tblRiskHistory" ref="A1:F121" totalsRowShown="0" headerRowDxfId="49" dataDxfId="48">
  <tableColumns count="6">
    <tableColumn id="1" xr3:uid="{00000000-0010-0000-1300-000001000000}" name="Snapshot ID" dataDxfId="47"/>
    <tableColumn id="2" xr3:uid="{00000000-0010-0000-1300-000002000000}" name="Risk ID" dataDxfId="46"/>
    <tableColumn id="3" xr3:uid="{00000000-0010-0000-1300-000003000000}" name="Snapshot Date" dataDxfId="45"/>
    <tableColumn id="4" xr3:uid="{00000000-0010-0000-1300-000004000000}" name="Inherent Score" dataDxfId="44"/>
    <tableColumn id="5" xr3:uid="{00000000-0010-0000-1300-000005000000}" name="Residual Score" dataDxfId="43"/>
    <tableColumn id="6" xr3:uid="{00000000-0010-0000-1300-000006000000}" name="Reviewer" dataDxfId="42"/>
  </tableColumns>
  <tableStyleInfo name="TableStyleLight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ChangeLog" displayName="tblChangeLog" ref="A1:G121" totalsRowShown="0" headerRowDxfId="41" dataDxfId="40">
  <tableColumns count="7">
    <tableColumn id="1" xr3:uid="{00000000-0010-0000-1400-000001000000}" name="Change ID" dataDxfId="39"/>
    <tableColumn id="2" xr3:uid="{00000000-0010-0000-1400-000002000000}" name="Record Type" dataDxfId="38"/>
    <tableColumn id="3" xr3:uid="{00000000-0010-0000-1400-000003000000}" name="Record ID" dataDxfId="37"/>
    <tableColumn id="4" xr3:uid="{00000000-0010-0000-1400-000004000000}" name="Changed On" dataDxfId="36"/>
    <tableColumn id="5" xr3:uid="{00000000-0010-0000-1400-000005000000}" name="Changed By" dataDxfId="35"/>
    <tableColumn id="6" xr3:uid="{00000000-0010-0000-1400-000006000000}" name="Change Description" dataDxfId="34"/>
    <tableColumn id="7" xr3:uid="{00000000-0010-0000-1400-000007000000}" name="Approval" dataDxfId="33"/>
  </tableColumns>
  <tableStyleInfo name="TableStyleLight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QAResults" displayName="tblQAResults" ref="A1:F121" totalsRowShown="0" headerRowDxfId="32" dataDxfId="31">
  <tableColumns count="6">
    <tableColumn id="1" xr3:uid="{00000000-0010-0000-1500-000001000000}" name="Test ID" dataDxfId="30"/>
    <tableColumn id="2" xr3:uid="{00000000-0010-0000-1500-000002000000}" name="Test Description" dataDxfId="29"/>
    <tableColumn id="3" xr3:uid="{00000000-0010-0000-1500-000003000000}" name="Expected" dataDxfId="28"/>
    <tableColumn id="4" xr3:uid="{00000000-0010-0000-1500-000004000000}" name="Actual" dataDxfId="27"/>
    <tableColumn id="5" xr3:uid="{00000000-0010-0000-1500-000005000000}" name="Status" dataDxfId="26"/>
    <tableColumn id="6" xr3:uid="{00000000-0010-0000-1500-000006000000}" name="Notes" dataDxfId="25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GRC Monochrome">
      <a:dk1>
        <a:srgbClr val="171719"/>
      </a:dk1>
      <a:lt1>
        <a:srgbClr val="FFFFFF"/>
      </a:lt1>
      <a:dk2>
        <a:srgbClr val="2B2B2E"/>
      </a:dk2>
      <a:lt2>
        <a:srgbClr val="F4F4F6"/>
      </a:lt2>
      <a:accent1>
        <a:srgbClr val="242426"/>
      </a:accent1>
      <a:accent2>
        <a:srgbClr val="555559"/>
      </a:accent2>
      <a:accent3>
        <a:srgbClr val="77777A"/>
      </a:accent3>
      <a:accent4>
        <a:srgbClr val="AAAAAE"/>
      </a:accent4>
      <a:accent5>
        <a:srgbClr val="E5E5E8"/>
      </a:accent5>
      <a:accent6>
        <a:srgbClr val="444448"/>
      </a:accent6>
      <a:hlink>
        <a:srgbClr val="333336"/>
      </a:hlink>
      <a:folHlink>
        <a:srgbClr val="77777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GRC Monochro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mbnq11" TargetMode="External"/><Relationship Id="rId2" Type="http://schemas.openxmlformats.org/officeDocument/2006/relationships/hyperlink" Target="https://linkedin.com/in/mbnq" TargetMode="External"/><Relationship Id="rId1" Type="http://schemas.openxmlformats.org/officeDocument/2006/relationships/hyperlink" Target="mailto:mbnq1@outlook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0"/>
  <sheetViews>
    <sheetView showGridLines="0" tabSelected="1" zoomScale="41" workbookViewId="0">
      <selection activeCell="U9" sqref="U9"/>
    </sheetView>
  </sheetViews>
  <sheetFormatPr defaultRowHeight="22.8"/>
  <cols>
    <col min="1" max="1" width="4" style="28" customWidth="1"/>
    <col min="2" max="15" width="14" style="28" customWidth="1"/>
    <col min="16" max="16" width="4" style="28" customWidth="1"/>
    <col min="17" max="16384" width="8.796875" style="28"/>
  </cols>
  <sheetData>
    <row r="1" spans="1:16" ht="22.0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22.05" customHeight="1">
      <c r="A2" s="27"/>
      <c r="B2" s="62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27"/>
    </row>
    <row r="3" spans="1:16" ht="22.05" customHeight="1">
      <c r="A3" s="27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27"/>
    </row>
    <row r="4" spans="1:16" ht="22.0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ht="22.05" customHeight="1">
      <c r="A5" s="27"/>
      <c r="B5" s="67" t="s">
        <v>450</v>
      </c>
      <c r="C5" s="63"/>
      <c r="D5" s="63"/>
      <c r="E5" s="63"/>
      <c r="F5" s="63"/>
      <c r="G5" s="63"/>
      <c r="H5" s="63"/>
      <c r="I5" s="63"/>
      <c r="J5" s="27"/>
      <c r="K5" s="77" t="s">
        <v>0</v>
      </c>
      <c r="L5" s="63"/>
      <c r="M5" s="63"/>
      <c r="N5" s="63"/>
      <c r="O5" s="63"/>
      <c r="P5" s="27"/>
    </row>
    <row r="6" spans="1:16" ht="22.05" customHeight="1">
      <c r="A6" s="27"/>
      <c r="B6" s="63"/>
      <c r="C6" s="65"/>
      <c r="D6" s="65"/>
      <c r="E6" s="65"/>
      <c r="F6" s="65"/>
      <c r="G6" s="65"/>
      <c r="H6" s="65"/>
      <c r="I6" s="63"/>
      <c r="J6" s="27"/>
      <c r="K6" s="27"/>
      <c r="L6" s="27"/>
      <c r="M6" s="27"/>
      <c r="N6" s="27"/>
      <c r="O6" s="27"/>
      <c r="P6" s="27"/>
    </row>
    <row r="7" spans="1:16" ht="22.05" customHeight="1">
      <c r="A7" s="27"/>
      <c r="B7" s="63"/>
      <c r="C7" s="63"/>
      <c r="D7" s="63"/>
      <c r="E7" s="63"/>
      <c r="F7" s="63"/>
      <c r="G7" s="63"/>
      <c r="H7" s="63"/>
      <c r="I7" s="63"/>
      <c r="J7" s="27"/>
      <c r="K7" s="27"/>
      <c r="L7" s="27"/>
      <c r="M7" s="27"/>
      <c r="N7" s="27"/>
      <c r="O7" s="27"/>
      <c r="P7" s="27"/>
    </row>
    <row r="8" spans="1:16" ht="22.05" customHeight="1">
      <c r="A8" s="27"/>
      <c r="B8" s="69" t="s">
        <v>2</v>
      </c>
      <c r="C8" s="63"/>
      <c r="D8" s="63"/>
      <c r="E8" s="63"/>
      <c r="F8" s="63"/>
      <c r="G8" s="63"/>
      <c r="H8" s="63"/>
      <c r="I8" s="63"/>
      <c r="J8" s="27"/>
      <c r="K8" s="27"/>
      <c r="L8" s="27"/>
      <c r="M8" s="27"/>
      <c r="N8" s="27"/>
      <c r="O8" s="27"/>
      <c r="P8" s="27"/>
    </row>
    <row r="9" spans="1:16" ht="22.05" customHeight="1">
      <c r="A9" s="27"/>
      <c r="B9" s="63"/>
      <c r="C9" s="65"/>
      <c r="D9" s="65"/>
      <c r="E9" s="65"/>
      <c r="F9" s="65"/>
      <c r="G9" s="65"/>
      <c r="H9" s="65"/>
      <c r="I9" s="63"/>
      <c r="J9" s="27"/>
      <c r="K9" s="27"/>
      <c r="L9" s="27"/>
      <c r="M9" s="27"/>
      <c r="N9" s="27"/>
      <c r="O9" s="27"/>
      <c r="P9" s="27"/>
    </row>
    <row r="10" spans="1:16" ht="22.05" customHeight="1">
      <c r="A10" s="27"/>
      <c r="B10" s="63"/>
      <c r="C10" s="63"/>
      <c r="D10" s="63"/>
      <c r="E10" s="63"/>
      <c r="F10" s="63"/>
      <c r="G10" s="63"/>
      <c r="H10" s="63"/>
      <c r="I10" s="63"/>
      <c r="J10" s="27"/>
      <c r="K10" s="27"/>
      <c r="L10" s="27"/>
      <c r="M10" s="27"/>
      <c r="N10" s="27"/>
      <c r="O10" s="27"/>
      <c r="P10" s="27"/>
    </row>
    <row r="11" spans="1:16" ht="22.05" customHeight="1">
      <c r="A11" s="27"/>
      <c r="B11" s="80" t="s">
        <v>451</v>
      </c>
      <c r="C11" s="63"/>
      <c r="D11" s="63"/>
      <c r="E11" s="63"/>
      <c r="F11" s="63"/>
      <c r="G11" s="63"/>
      <c r="H11" s="63"/>
      <c r="I11" s="63"/>
      <c r="J11" s="27"/>
      <c r="K11" s="27"/>
      <c r="L11" s="27"/>
      <c r="M11" s="27"/>
      <c r="N11" s="27"/>
      <c r="O11" s="27"/>
      <c r="P11" s="27"/>
    </row>
    <row r="12" spans="1:16" ht="22.05" customHeight="1">
      <c r="A12" s="27"/>
      <c r="B12" s="63"/>
      <c r="C12" s="63"/>
      <c r="D12" s="63"/>
      <c r="E12" s="63"/>
      <c r="F12" s="63"/>
      <c r="G12" s="63"/>
      <c r="H12" s="63"/>
      <c r="I12" s="63"/>
      <c r="J12" s="27"/>
      <c r="K12" s="27"/>
      <c r="L12" s="27"/>
      <c r="M12" s="27"/>
      <c r="N12" s="27"/>
      <c r="O12" s="27"/>
      <c r="P12" s="27"/>
    </row>
    <row r="13" spans="1:16" ht="22.05" customHeight="1">
      <c r="A13" s="27"/>
      <c r="B13" s="81" t="s">
        <v>1</v>
      </c>
      <c r="C13" s="63"/>
      <c r="D13" s="63"/>
      <c r="E13" s="63"/>
      <c r="F13" s="63"/>
      <c r="G13" s="63"/>
      <c r="H13" s="63"/>
      <c r="I13" s="63"/>
      <c r="J13" s="27"/>
      <c r="K13" s="27"/>
      <c r="L13" s="27"/>
      <c r="M13" s="27"/>
      <c r="N13" s="27"/>
      <c r="O13" s="27"/>
      <c r="P13" s="27"/>
    </row>
    <row r="14" spans="1:16" ht="22.05" customHeight="1">
      <c r="A14" s="27"/>
      <c r="B14" s="63"/>
      <c r="C14" s="63"/>
      <c r="D14" s="63"/>
      <c r="E14" s="63"/>
      <c r="F14" s="63"/>
      <c r="G14" s="63"/>
      <c r="H14" s="63"/>
      <c r="I14" s="63"/>
      <c r="J14" s="27"/>
      <c r="K14" s="27"/>
      <c r="L14" s="27"/>
      <c r="M14" s="27"/>
      <c r="N14" s="27"/>
      <c r="O14" s="27"/>
      <c r="P14" s="27"/>
    </row>
    <row r="15" spans="1:16" ht="22.0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82" t="s">
        <v>452</v>
      </c>
      <c r="L15" s="63"/>
      <c r="M15" s="63"/>
      <c r="N15" s="63"/>
      <c r="O15" s="63"/>
      <c r="P15" s="27"/>
    </row>
    <row r="16" spans="1:16" ht="22.05" customHeight="1">
      <c r="A16" s="27"/>
      <c r="B16" s="69"/>
      <c r="C16" s="63"/>
      <c r="D16" s="63"/>
      <c r="E16" s="63"/>
      <c r="F16" s="63"/>
      <c r="G16" s="63"/>
      <c r="H16" s="63"/>
      <c r="I16" s="63"/>
      <c r="J16" s="27"/>
      <c r="K16" s="63"/>
      <c r="L16" s="65"/>
      <c r="M16" s="65"/>
      <c r="N16" s="65"/>
      <c r="O16" s="63"/>
      <c r="P16" s="27"/>
    </row>
    <row r="17" spans="1:16" ht="22.05" customHeight="1">
      <c r="A17" s="27"/>
      <c r="B17" s="63"/>
      <c r="C17" s="65"/>
      <c r="D17" s="65"/>
      <c r="E17" s="65"/>
      <c r="F17" s="65"/>
      <c r="G17" s="65"/>
      <c r="H17" s="65"/>
      <c r="I17" s="63"/>
      <c r="J17" s="27"/>
      <c r="K17" s="63"/>
      <c r="L17" s="63"/>
      <c r="M17" s="63"/>
      <c r="N17" s="63"/>
      <c r="O17" s="63"/>
      <c r="P17" s="27"/>
    </row>
    <row r="18" spans="1:16" ht="22.05" customHeight="1">
      <c r="A18" s="27"/>
      <c r="B18" s="63"/>
      <c r="C18" s="63"/>
      <c r="D18" s="63"/>
      <c r="E18" s="63"/>
      <c r="F18" s="63"/>
      <c r="G18" s="63"/>
      <c r="H18" s="63"/>
      <c r="I18" s="63"/>
      <c r="J18" s="27"/>
      <c r="K18" s="27"/>
      <c r="L18" s="27"/>
      <c r="M18" s="27"/>
      <c r="N18" s="27"/>
      <c r="O18" s="27"/>
      <c r="P18" s="27"/>
    </row>
    <row r="19" spans="1:16" ht="22.0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</row>
    <row r="20" spans="1:16" ht="22.0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spans="1:16" ht="22.05" customHeight="1">
      <c r="A21" s="27"/>
      <c r="B21" s="78" t="s">
        <v>3</v>
      </c>
      <c r="C21" s="63"/>
      <c r="D21" s="63"/>
      <c r="E21" s="63"/>
      <c r="F21" s="63"/>
      <c r="G21" s="63"/>
      <c r="H21" s="63"/>
      <c r="I21" s="63"/>
      <c r="J21" s="27"/>
      <c r="K21" s="78" t="s">
        <v>4</v>
      </c>
      <c r="L21" s="63"/>
      <c r="M21" s="63"/>
      <c r="N21" s="63"/>
      <c r="O21" s="63"/>
      <c r="P21" s="27"/>
    </row>
    <row r="22" spans="1:16" ht="22.05" customHeight="1">
      <c r="A22" s="27"/>
      <c r="B22" s="66" t="s">
        <v>5</v>
      </c>
      <c r="C22" s="63"/>
      <c r="D22" s="71" t="s">
        <v>6</v>
      </c>
      <c r="E22" s="63"/>
      <c r="F22" s="63"/>
      <c r="G22" s="63"/>
      <c r="H22" s="63"/>
      <c r="I22" s="63"/>
      <c r="J22" s="27"/>
      <c r="K22" s="72" t="s">
        <v>454</v>
      </c>
      <c r="L22" s="63"/>
      <c r="M22" s="63"/>
      <c r="N22" s="63"/>
      <c r="O22" s="63"/>
      <c r="P22" s="27"/>
    </row>
    <row r="23" spans="1:16" ht="22.0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72" t="s">
        <v>455</v>
      </c>
      <c r="L23" s="63"/>
      <c r="M23" s="63"/>
      <c r="N23" s="63"/>
      <c r="O23" s="63"/>
      <c r="P23" s="27"/>
    </row>
    <row r="24" spans="1:16" ht="22.05" customHeight="1">
      <c r="A24" s="27"/>
      <c r="B24" s="66" t="s">
        <v>7</v>
      </c>
      <c r="C24" s="63"/>
      <c r="D24" s="71" t="s">
        <v>8</v>
      </c>
      <c r="E24" s="63"/>
      <c r="F24" s="63"/>
      <c r="G24" s="63"/>
      <c r="H24" s="63"/>
      <c r="I24" s="63"/>
      <c r="J24" s="27"/>
      <c r="K24" s="72" t="s">
        <v>456</v>
      </c>
      <c r="L24" s="63"/>
      <c r="M24" s="63"/>
      <c r="N24" s="63"/>
      <c r="O24" s="63"/>
      <c r="P24" s="27"/>
    </row>
    <row r="25" spans="1:16" ht="22.0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72" t="s">
        <v>457</v>
      </c>
      <c r="L25" s="63"/>
      <c r="M25" s="63"/>
      <c r="N25" s="63"/>
      <c r="O25" s="63"/>
      <c r="P25" s="27"/>
    </row>
    <row r="26" spans="1:16" ht="22.05" customHeight="1">
      <c r="A26" s="27"/>
      <c r="B26" s="66" t="s">
        <v>9</v>
      </c>
      <c r="C26" s="63"/>
      <c r="D26" s="71" t="s">
        <v>10</v>
      </c>
      <c r="E26" s="63"/>
      <c r="F26" s="63"/>
      <c r="G26" s="63"/>
      <c r="H26" s="63"/>
      <c r="I26" s="63"/>
      <c r="J26" s="27"/>
      <c r="K26" s="72"/>
      <c r="L26" s="63"/>
      <c r="M26" s="63"/>
      <c r="N26" s="63"/>
      <c r="O26" s="63"/>
      <c r="P26" s="27"/>
    </row>
    <row r="27" spans="1:16" ht="22.0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</row>
    <row r="28" spans="1:16" ht="22.05" customHeight="1">
      <c r="A28" s="27"/>
      <c r="B28" s="66" t="s">
        <v>11</v>
      </c>
      <c r="C28" s="63"/>
      <c r="D28" s="79" t="s">
        <v>104</v>
      </c>
      <c r="E28" s="63"/>
      <c r="F28" s="63"/>
      <c r="G28" s="63"/>
      <c r="H28" s="63"/>
      <c r="I28" s="63"/>
      <c r="J28" s="27"/>
      <c r="K28" s="27"/>
      <c r="L28" s="27"/>
      <c r="M28" s="27"/>
      <c r="N28" s="27"/>
      <c r="O28" s="27"/>
      <c r="P28" s="27"/>
    </row>
    <row r="29" spans="1:16" ht="22.0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spans="1:16" ht="22.0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spans="1:16" ht="22.05" customHeight="1">
      <c r="A31" s="27"/>
      <c r="B31" s="75" t="s">
        <v>12</v>
      </c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27"/>
    </row>
    <row r="32" spans="1:16" ht="22.0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</row>
    <row r="33" spans="1:30" ht="22.05" customHeight="1">
      <c r="A33" s="27"/>
      <c r="B33" s="64" t="s">
        <v>13</v>
      </c>
      <c r="C33" s="63"/>
      <c r="D33" s="63"/>
      <c r="E33" s="63"/>
      <c r="F33" s="27"/>
      <c r="G33" s="68" t="s">
        <v>14</v>
      </c>
      <c r="H33" s="68"/>
      <c r="I33" s="68"/>
      <c r="J33" s="68"/>
      <c r="K33" s="27"/>
      <c r="L33" s="64" t="s">
        <v>15</v>
      </c>
      <c r="M33" s="63"/>
      <c r="N33" s="63"/>
      <c r="O33" s="63"/>
      <c r="P33" s="27"/>
    </row>
    <row r="34" spans="1:30" ht="22.05" customHeight="1">
      <c r="A34" s="27"/>
      <c r="B34" s="63"/>
      <c r="C34" s="65"/>
      <c r="D34" s="65"/>
      <c r="E34" s="63"/>
      <c r="F34" s="27"/>
      <c r="G34" s="68"/>
      <c r="H34" s="68"/>
      <c r="I34" s="68"/>
      <c r="J34" s="68"/>
      <c r="K34" s="27"/>
      <c r="L34" s="63"/>
      <c r="M34" s="65"/>
      <c r="N34" s="65"/>
      <c r="O34" s="63"/>
      <c r="P34" s="27"/>
    </row>
    <row r="35" spans="1:30" ht="22.05" customHeight="1">
      <c r="A35" s="27"/>
      <c r="B35" s="63"/>
      <c r="C35" s="63"/>
      <c r="D35" s="63"/>
      <c r="E35" s="63"/>
      <c r="F35" s="27"/>
      <c r="G35" s="68"/>
      <c r="H35" s="68"/>
      <c r="I35" s="68"/>
      <c r="J35" s="68"/>
      <c r="K35" s="27"/>
      <c r="L35" s="63"/>
      <c r="M35" s="63"/>
      <c r="N35" s="63"/>
      <c r="O35" s="63"/>
      <c r="P35" s="27"/>
    </row>
    <row r="36" spans="1:30" ht="22.0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</row>
    <row r="37" spans="1:30" ht="22.05" customHeight="1">
      <c r="A37" s="27"/>
      <c r="B37" s="64" t="s">
        <v>16</v>
      </c>
      <c r="C37" s="63"/>
      <c r="D37" s="63"/>
      <c r="E37" s="63"/>
      <c r="F37" s="27"/>
      <c r="G37" s="68" t="s">
        <v>17</v>
      </c>
      <c r="H37" s="68"/>
      <c r="I37" s="68"/>
      <c r="J37" s="68"/>
      <c r="K37" s="27"/>
      <c r="L37" s="64" t="s">
        <v>18</v>
      </c>
      <c r="M37" s="63"/>
      <c r="N37" s="63"/>
      <c r="O37" s="63"/>
      <c r="P37" s="27"/>
    </row>
    <row r="38" spans="1:30" ht="22.05" customHeight="1">
      <c r="A38" s="27"/>
      <c r="B38" s="63"/>
      <c r="C38" s="65"/>
      <c r="D38" s="65"/>
      <c r="E38" s="63"/>
      <c r="F38" s="27"/>
      <c r="G38" s="68"/>
      <c r="H38" s="68"/>
      <c r="I38" s="68"/>
      <c r="J38" s="68"/>
      <c r="K38" s="27"/>
      <c r="L38" s="63"/>
      <c r="M38" s="65"/>
      <c r="N38" s="65"/>
      <c r="O38" s="63"/>
      <c r="P38" s="27"/>
    </row>
    <row r="39" spans="1:30" ht="22.05" customHeight="1">
      <c r="A39" s="27"/>
      <c r="B39" s="63"/>
      <c r="C39" s="63"/>
      <c r="D39" s="63"/>
      <c r="E39" s="63"/>
      <c r="F39" s="27"/>
      <c r="G39" s="68"/>
      <c r="H39" s="68"/>
      <c r="I39" s="68"/>
      <c r="J39" s="68"/>
      <c r="K39" s="27"/>
      <c r="L39" s="63"/>
      <c r="M39" s="63"/>
      <c r="N39" s="63"/>
      <c r="O39" s="63"/>
      <c r="P39" s="27"/>
    </row>
    <row r="40" spans="1:30" ht="22.0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spans="1:30" ht="22.05" customHeight="1">
      <c r="A41" s="27"/>
      <c r="B41" s="64" t="s">
        <v>19</v>
      </c>
      <c r="C41" s="63"/>
      <c r="D41" s="63"/>
      <c r="E41" s="63"/>
      <c r="F41" s="27"/>
      <c r="G41" s="68" t="s">
        <v>20</v>
      </c>
      <c r="H41" s="68"/>
      <c r="I41" s="68"/>
      <c r="J41" s="68"/>
      <c r="K41" s="27"/>
      <c r="L41" s="64" t="s">
        <v>21</v>
      </c>
      <c r="M41" s="63"/>
      <c r="N41" s="63"/>
      <c r="O41" s="63"/>
      <c r="P41" s="27"/>
    </row>
    <row r="42" spans="1:30" ht="22.05" customHeight="1">
      <c r="A42" s="27"/>
      <c r="B42" s="63"/>
      <c r="C42" s="65"/>
      <c r="D42" s="65"/>
      <c r="E42" s="63"/>
      <c r="F42" s="27"/>
      <c r="G42" s="68"/>
      <c r="H42" s="68"/>
      <c r="I42" s="68"/>
      <c r="J42" s="68"/>
      <c r="K42" s="27"/>
      <c r="L42" s="63"/>
      <c r="M42" s="65"/>
      <c r="N42" s="65"/>
      <c r="O42" s="63"/>
      <c r="P42" s="27"/>
    </row>
    <row r="43" spans="1:30" ht="22.05" customHeight="1">
      <c r="A43" s="27"/>
      <c r="B43" s="63"/>
      <c r="C43" s="63"/>
      <c r="D43" s="63"/>
      <c r="E43" s="63"/>
      <c r="F43" s="27"/>
      <c r="G43" s="68"/>
      <c r="H43" s="68"/>
      <c r="I43" s="68"/>
      <c r="J43" s="68"/>
      <c r="K43" s="27"/>
      <c r="L43" s="63"/>
      <c r="M43" s="63"/>
      <c r="N43" s="63"/>
      <c r="O43" s="63"/>
      <c r="P43" s="27"/>
    </row>
    <row r="44" spans="1:30" ht="22.0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spans="1:30" ht="22.0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spans="1:30" ht="22.05" customHeight="1">
      <c r="A46" s="27"/>
      <c r="B46" s="73" t="s">
        <v>453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27"/>
    </row>
    <row r="47" spans="1:30" ht="22.05" customHeight="1">
      <c r="A47" s="27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AD47" s="27"/>
    </row>
    <row r="48" spans="1:30" ht="22.05" customHeight="1">
      <c r="A48" s="27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AD48" s="27"/>
    </row>
    <row r="49" spans="1:30" ht="22.0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AD49" s="27"/>
    </row>
    <row r="50" spans="1:30" ht="22.0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</row>
    <row r="51" spans="1:30" ht="22.0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27"/>
    </row>
    <row r="52" spans="1:30" ht="22.0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27"/>
    </row>
    <row r="53" spans="1:30" ht="22.0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spans="1:30" ht="22.0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 spans="1:30" ht="23.4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</row>
    <row r="56" spans="1:30" ht="23.4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</row>
    <row r="57" spans="1:30" ht="23.4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</row>
    <row r="58" spans="1:30" ht="23.4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</row>
    <row r="59" spans="1:30" ht="23.4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</row>
    <row r="60" spans="1:30" ht="23.4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</row>
  </sheetData>
  <mergeCells count="35">
    <mergeCell ref="B37:E39"/>
    <mergeCell ref="B16:I18"/>
    <mergeCell ref="B22:C22"/>
    <mergeCell ref="P51:AC52"/>
    <mergeCell ref="B28:C28"/>
    <mergeCell ref="D26:I26"/>
    <mergeCell ref="L37:O39"/>
    <mergeCell ref="K23:O23"/>
    <mergeCell ref="G37:J39"/>
    <mergeCell ref="B24:C24"/>
    <mergeCell ref="B46:O48"/>
    <mergeCell ref="L41:O43"/>
    <mergeCell ref="B33:E35"/>
    <mergeCell ref="B31:O31"/>
    <mergeCell ref="G41:J43"/>
    <mergeCell ref="K26:O26"/>
    <mergeCell ref="D28:I28"/>
    <mergeCell ref="B41:E43"/>
    <mergeCell ref="D24:I24"/>
    <mergeCell ref="B2:O3"/>
    <mergeCell ref="L33:O35"/>
    <mergeCell ref="B26:C26"/>
    <mergeCell ref="B5:I7"/>
    <mergeCell ref="G33:J35"/>
    <mergeCell ref="B8:I10"/>
    <mergeCell ref="K5:O5"/>
    <mergeCell ref="K21:O21"/>
    <mergeCell ref="B21:I21"/>
    <mergeCell ref="K22:O22"/>
    <mergeCell ref="D22:I22"/>
    <mergeCell ref="B11:I12"/>
    <mergeCell ref="B13:I14"/>
    <mergeCell ref="K25:O25"/>
    <mergeCell ref="K24:O24"/>
    <mergeCell ref="K15:O17"/>
  </mergeCells>
  <hyperlinks>
    <hyperlink ref="D22" r:id="rId1" xr:uid="{00000000-0004-0000-0000-000000000000}"/>
    <hyperlink ref="D24" r:id="rId2" xr:uid="{00000000-0004-0000-0000-000001000000}"/>
    <hyperlink ref="D26" r:id="rId3" xr:uid="{00000000-0004-0000-0000-000002000000}"/>
    <hyperlink ref="B33" location="'Executive Dashboard'!A1" display="Executive Dashboard" xr:uid="{00000000-0004-0000-0000-000003000000}"/>
    <hyperlink ref="G33" location="'Index'!A1" display="Index / Table of Contents" xr:uid="{00000000-0004-0000-0000-000004000000}"/>
    <hyperlink ref="L33" location="'Framework Navigator'!A1" display="Framework Navigator" xr:uid="{00000000-0004-0000-0000-000005000000}"/>
    <hyperlink ref="B37" location="'Compliance Analytics'!A1" display="Compliance Analytics" xr:uid="{00000000-0004-0000-0000-000006000000}"/>
    <hyperlink ref="G37" location="'Risk Analytics'!A1" display="Risk Analytics" xr:uid="{00000000-0004-0000-0000-000007000000}"/>
    <hyperlink ref="L37" location="'Operations Analytics'!A1" display="Operations Analytics" xr:uid="{00000000-0004-0000-0000-000008000000}"/>
    <hyperlink ref="B41" location="'Evidence Register'!A1" display="Evidence Register" xr:uid="{00000000-0004-0000-0000-000009000000}"/>
    <hyperlink ref="G41" location="'Risk Register'!A1" display="Risk Register" xr:uid="{00000000-0004-0000-0000-00000A000000}"/>
    <hyperlink ref="L41" location="'Audit Findings'!A1" display="Audit Findings" xr:uid="{00000000-0004-0000-0000-00000B000000}"/>
  </hyperlinks>
  <pageMargins left="0.7" right="0.7" top="0.75" bottom="0.75" header="0.3" footer="0.3"/>
  <pageSetup paperSize="11" scale="23" fitToWidth="0" orientation="landscape" r:id="rId4"/>
  <headerFooter>
    <oddFooter>&amp;LMohammed Nawaf&amp;CCybersecurity GRC Intelligence Suite&amp;RPage &amp;P of &amp;N</oddFooter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9"/>
  <sheetViews>
    <sheetView showGridLines="0" workbookViewId="0">
      <selection activeCell="B5" sqref="B5:H6"/>
    </sheetView>
  </sheetViews>
  <sheetFormatPr defaultRowHeight="17.399999999999999"/>
  <cols>
    <col min="1" max="1" width="6" style="24" customWidth="1"/>
    <col min="2" max="2" width="24" style="24" customWidth="1"/>
    <col min="3" max="3" width="28" style="24" customWidth="1"/>
    <col min="4" max="4" width="20" style="24" customWidth="1"/>
    <col min="5" max="5" width="89.09765625" style="24" customWidth="1"/>
    <col min="6" max="8" width="14" style="24" customWidth="1"/>
    <col min="9" max="16384" width="8.796875" style="24"/>
  </cols>
  <sheetData>
    <row r="1" spans="1:8" ht="22.05" customHeight="1">
      <c r="A1" s="23"/>
      <c r="B1" s="23"/>
      <c r="C1" s="23"/>
      <c r="D1" s="23"/>
      <c r="E1" s="23"/>
      <c r="F1" s="23"/>
      <c r="G1" s="23"/>
      <c r="H1" s="23"/>
    </row>
    <row r="2" spans="1:8" ht="22.05" customHeight="1">
      <c r="A2" s="23"/>
      <c r="B2" s="87" t="s">
        <v>22</v>
      </c>
      <c r="C2" s="84"/>
      <c r="D2" s="84"/>
      <c r="E2" s="84"/>
      <c r="F2" s="84"/>
      <c r="G2" s="84"/>
      <c r="H2" s="84"/>
    </row>
    <row r="3" spans="1:8" ht="22.05" customHeight="1">
      <c r="A3" s="23"/>
      <c r="B3" s="84"/>
      <c r="C3" s="84"/>
      <c r="D3" s="84"/>
      <c r="E3" s="84"/>
      <c r="F3" s="84"/>
      <c r="G3" s="84"/>
      <c r="H3" s="84"/>
    </row>
    <row r="4" spans="1:8" ht="22.05" customHeight="1">
      <c r="A4" s="23"/>
      <c r="B4" s="23"/>
      <c r="C4" s="23"/>
      <c r="D4" s="23"/>
      <c r="E4" s="23"/>
      <c r="F4" s="23"/>
      <c r="G4" s="23"/>
      <c r="H4" s="23"/>
    </row>
    <row r="5" spans="1:8" ht="22.05" customHeight="1">
      <c r="A5" s="23"/>
      <c r="B5" s="88" t="s">
        <v>23</v>
      </c>
      <c r="C5" s="84"/>
      <c r="D5" s="84"/>
      <c r="E5" s="84"/>
      <c r="F5" s="84"/>
      <c r="G5" s="84"/>
      <c r="H5" s="84"/>
    </row>
    <row r="6" spans="1:8" ht="22.05" customHeight="1">
      <c r="A6" s="23"/>
      <c r="B6" s="84"/>
      <c r="C6" s="84"/>
      <c r="D6" s="84"/>
      <c r="E6" s="84"/>
      <c r="F6" s="84"/>
      <c r="G6" s="84"/>
      <c r="H6" s="84"/>
    </row>
    <row r="7" spans="1:8" ht="22.05" customHeight="1">
      <c r="A7" s="23"/>
      <c r="B7" s="23"/>
      <c r="C7" s="23"/>
      <c r="D7" s="23"/>
      <c r="E7" s="23"/>
      <c r="F7" s="23"/>
      <c r="G7" s="23"/>
      <c r="H7" s="23"/>
    </row>
    <row r="8" spans="1:8" ht="22.05" customHeight="1">
      <c r="A8" s="23"/>
      <c r="B8" s="83" t="s">
        <v>24</v>
      </c>
      <c r="C8" s="84"/>
      <c r="D8" s="83" t="s">
        <v>25</v>
      </c>
      <c r="E8" s="84"/>
      <c r="F8" s="83" t="s">
        <v>26</v>
      </c>
      <c r="G8" s="84"/>
      <c r="H8" s="23"/>
    </row>
    <row r="9" spans="1:8" ht="22.05" customHeight="1">
      <c r="A9" s="23"/>
      <c r="B9" s="84"/>
      <c r="C9" s="84"/>
      <c r="D9" s="84"/>
      <c r="E9" s="84"/>
      <c r="F9" s="84"/>
      <c r="G9" s="84"/>
      <c r="H9" s="23"/>
    </row>
    <row r="10" spans="1:8" ht="22.05" customHeight="1">
      <c r="A10" s="23"/>
      <c r="B10" s="23"/>
      <c r="C10" s="23"/>
      <c r="D10" s="23"/>
      <c r="E10" s="23"/>
      <c r="F10" s="23"/>
      <c r="G10" s="23"/>
      <c r="H10" s="23"/>
    </row>
    <row r="11" spans="1:8" ht="22.05" customHeight="1">
      <c r="A11" s="23"/>
      <c r="B11" s="55" t="s">
        <v>27</v>
      </c>
      <c r="C11" s="55" t="s">
        <v>28</v>
      </c>
      <c r="D11" s="55" t="s">
        <v>29</v>
      </c>
      <c r="E11" s="55" t="s">
        <v>30</v>
      </c>
      <c r="F11" s="55" t="s">
        <v>31</v>
      </c>
      <c r="G11" s="23"/>
      <c r="H11" s="23"/>
    </row>
    <row r="12" spans="1:8" ht="22.05" customHeight="1">
      <c r="A12" s="23"/>
      <c r="B12" s="56">
        <v>1</v>
      </c>
      <c r="C12" s="57" t="s">
        <v>24</v>
      </c>
      <c r="D12" s="56" t="s">
        <v>32</v>
      </c>
      <c r="E12" s="58" t="s">
        <v>33</v>
      </c>
      <c r="F12" s="25" t="s">
        <v>34</v>
      </c>
      <c r="G12" s="23"/>
      <c r="H12" s="23"/>
    </row>
    <row r="13" spans="1:8" ht="22.05" customHeight="1">
      <c r="A13" s="23"/>
      <c r="B13" s="59">
        <v>2</v>
      </c>
      <c r="C13" s="60" t="s">
        <v>35</v>
      </c>
      <c r="D13" s="59" t="s">
        <v>32</v>
      </c>
      <c r="E13" s="61" t="s">
        <v>36</v>
      </c>
      <c r="F13" s="25" t="s">
        <v>34</v>
      </c>
      <c r="G13" s="23"/>
      <c r="H13" s="23"/>
    </row>
    <row r="14" spans="1:8" ht="22.05" customHeight="1">
      <c r="A14" s="23"/>
      <c r="B14" s="56">
        <v>3</v>
      </c>
      <c r="C14" s="57" t="s">
        <v>37</v>
      </c>
      <c r="D14" s="56" t="s">
        <v>38</v>
      </c>
      <c r="E14" s="58" t="s">
        <v>39</v>
      </c>
      <c r="F14" s="25" t="s">
        <v>34</v>
      </c>
      <c r="G14" s="23"/>
      <c r="H14" s="23"/>
    </row>
    <row r="15" spans="1:8" ht="22.05" customHeight="1">
      <c r="A15" s="23"/>
      <c r="B15" s="59">
        <v>4</v>
      </c>
      <c r="C15" s="60" t="s">
        <v>40</v>
      </c>
      <c r="D15" s="59" t="s">
        <v>38</v>
      </c>
      <c r="E15" s="61" t="s">
        <v>41</v>
      </c>
      <c r="F15" s="25" t="s">
        <v>34</v>
      </c>
      <c r="G15" s="23"/>
      <c r="H15" s="23"/>
    </row>
    <row r="16" spans="1:8" ht="22.05" customHeight="1">
      <c r="A16" s="23"/>
      <c r="B16" s="56">
        <v>5</v>
      </c>
      <c r="C16" s="57" t="s">
        <v>42</v>
      </c>
      <c r="D16" s="56" t="s">
        <v>38</v>
      </c>
      <c r="E16" s="58" t="s">
        <v>43</v>
      </c>
      <c r="F16" s="25" t="s">
        <v>34</v>
      </c>
      <c r="G16" s="23"/>
      <c r="H16" s="23"/>
    </row>
    <row r="17" spans="1:8" ht="22.05" customHeight="1">
      <c r="A17" s="23"/>
      <c r="B17" s="59">
        <v>6</v>
      </c>
      <c r="C17" s="60" t="s">
        <v>44</v>
      </c>
      <c r="D17" s="59" t="s">
        <v>38</v>
      </c>
      <c r="E17" s="61" t="s">
        <v>45</v>
      </c>
      <c r="F17" s="25" t="s">
        <v>34</v>
      </c>
      <c r="G17" s="23"/>
      <c r="H17" s="23"/>
    </row>
    <row r="18" spans="1:8" ht="22.05" customHeight="1">
      <c r="A18" s="23"/>
      <c r="B18" s="56">
        <v>7</v>
      </c>
      <c r="C18" s="57" t="s">
        <v>19</v>
      </c>
      <c r="D18" s="56" t="s">
        <v>38</v>
      </c>
      <c r="E18" s="58" t="s">
        <v>46</v>
      </c>
      <c r="F18" s="25" t="s">
        <v>34</v>
      </c>
      <c r="G18" s="23"/>
      <c r="H18" s="23"/>
    </row>
    <row r="19" spans="1:8" ht="22.05" customHeight="1">
      <c r="A19" s="23"/>
      <c r="B19" s="59">
        <v>8</v>
      </c>
      <c r="C19" s="60" t="s">
        <v>20</v>
      </c>
      <c r="D19" s="59" t="s">
        <v>38</v>
      </c>
      <c r="E19" s="61" t="s">
        <v>47</v>
      </c>
      <c r="F19" s="25" t="s">
        <v>34</v>
      </c>
      <c r="G19" s="23"/>
      <c r="H19" s="23"/>
    </row>
    <row r="20" spans="1:8" ht="22.05" customHeight="1">
      <c r="A20" s="23"/>
      <c r="B20" s="56">
        <v>9</v>
      </c>
      <c r="C20" s="57" t="s">
        <v>48</v>
      </c>
      <c r="D20" s="56" t="s">
        <v>38</v>
      </c>
      <c r="E20" s="58" t="s">
        <v>49</v>
      </c>
      <c r="F20" s="25" t="s">
        <v>34</v>
      </c>
      <c r="G20" s="23"/>
      <c r="H20" s="23"/>
    </row>
    <row r="21" spans="1:8" ht="22.05" customHeight="1">
      <c r="A21" s="23"/>
      <c r="B21" s="59">
        <v>10</v>
      </c>
      <c r="C21" s="60" t="s">
        <v>21</v>
      </c>
      <c r="D21" s="59" t="s">
        <v>38</v>
      </c>
      <c r="E21" s="61" t="s">
        <v>50</v>
      </c>
      <c r="F21" s="25" t="s">
        <v>34</v>
      </c>
      <c r="G21" s="23"/>
      <c r="H21" s="23"/>
    </row>
    <row r="22" spans="1:8" ht="22.05" customHeight="1">
      <c r="A22" s="23"/>
      <c r="B22" s="56">
        <v>11</v>
      </c>
      <c r="C22" s="57" t="s">
        <v>51</v>
      </c>
      <c r="D22" s="56" t="s">
        <v>38</v>
      </c>
      <c r="E22" s="58" t="s">
        <v>52</v>
      </c>
      <c r="F22" s="25" t="s">
        <v>34</v>
      </c>
      <c r="G22" s="23"/>
      <c r="H22" s="23"/>
    </row>
    <row r="23" spans="1:8" ht="22.05" customHeight="1">
      <c r="A23" s="23"/>
      <c r="B23" s="59">
        <v>12</v>
      </c>
      <c r="C23" s="60" t="s">
        <v>53</v>
      </c>
      <c r="D23" s="59" t="s">
        <v>38</v>
      </c>
      <c r="E23" s="61" t="s">
        <v>54</v>
      </c>
      <c r="F23" s="25" t="s">
        <v>34</v>
      </c>
      <c r="G23" s="23"/>
      <c r="H23" s="23"/>
    </row>
    <row r="24" spans="1:8" ht="22.05" customHeight="1">
      <c r="A24" s="23"/>
      <c r="B24" s="56">
        <v>13</v>
      </c>
      <c r="C24" s="57" t="s">
        <v>55</v>
      </c>
      <c r="D24" s="56" t="s">
        <v>38</v>
      </c>
      <c r="E24" s="58" t="s">
        <v>56</v>
      </c>
      <c r="F24" s="25" t="s">
        <v>34</v>
      </c>
      <c r="G24" s="23"/>
      <c r="H24" s="23"/>
    </row>
    <row r="25" spans="1:8" ht="22.05" customHeight="1">
      <c r="A25" s="23"/>
      <c r="B25" s="59">
        <v>14</v>
      </c>
      <c r="C25" s="60" t="s">
        <v>57</v>
      </c>
      <c r="D25" s="59" t="s">
        <v>38</v>
      </c>
      <c r="E25" s="61" t="s">
        <v>58</v>
      </c>
      <c r="F25" s="25" t="s">
        <v>34</v>
      </c>
      <c r="G25" s="23"/>
      <c r="H25" s="23"/>
    </row>
    <row r="26" spans="1:8" ht="22.05" customHeight="1">
      <c r="A26" s="23"/>
      <c r="B26" s="56">
        <v>15</v>
      </c>
      <c r="C26" s="57" t="s">
        <v>59</v>
      </c>
      <c r="D26" s="56" t="s">
        <v>38</v>
      </c>
      <c r="E26" s="58" t="s">
        <v>60</v>
      </c>
      <c r="F26" s="25" t="s">
        <v>34</v>
      </c>
      <c r="G26" s="23"/>
      <c r="H26" s="23"/>
    </row>
    <row r="27" spans="1:8" ht="22.05" customHeight="1">
      <c r="A27" s="23"/>
      <c r="B27" s="59">
        <v>16</v>
      </c>
      <c r="C27" s="60" t="s">
        <v>61</v>
      </c>
      <c r="D27" s="59" t="s">
        <v>38</v>
      </c>
      <c r="E27" s="61" t="s">
        <v>62</v>
      </c>
      <c r="F27" s="25" t="s">
        <v>34</v>
      </c>
      <c r="G27" s="23"/>
      <c r="H27" s="23"/>
    </row>
    <row r="28" spans="1:8" ht="22.05" customHeight="1">
      <c r="A28" s="23"/>
      <c r="B28" s="56">
        <v>17</v>
      </c>
      <c r="C28" s="57" t="s">
        <v>63</v>
      </c>
      <c r="D28" s="56" t="s">
        <v>38</v>
      </c>
      <c r="E28" s="58" t="s">
        <v>64</v>
      </c>
      <c r="F28" s="25" t="s">
        <v>34</v>
      </c>
      <c r="G28" s="23"/>
      <c r="H28" s="23"/>
    </row>
    <row r="29" spans="1:8" ht="22.05" customHeight="1">
      <c r="A29" s="23"/>
      <c r="B29" s="59">
        <v>18</v>
      </c>
      <c r="C29" s="60" t="s">
        <v>65</v>
      </c>
      <c r="D29" s="59" t="s">
        <v>38</v>
      </c>
      <c r="E29" s="61" t="s">
        <v>66</v>
      </c>
      <c r="F29" s="25" t="s">
        <v>34</v>
      </c>
      <c r="G29" s="23"/>
      <c r="H29" s="23"/>
    </row>
    <row r="30" spans="1:8" ht="22.05" customHeight="1">
      <c r="A30" s="23"/>
      <c r="B30" s="56">
        <v>19</v>
      </c>
      <c r="C30" s="57" t="s">
        <v>67</v>
      </c>
      <c r="D30" s="56" t="s">
        <v>38</v>
      </c>
      <c r="E30" s="58" t="s">
        <v>68</v>
      </c>
      <c r="F30" s="25" t="s">
        <v>34</v>
      </c>
      <c r="G30" s="23"/>
      <c r="H30" s="23"/>
    </row>
    <row r="31" spans="1:8" ht="22.05" customHeight="1">
      <c r="A31" s="23"/>
      <c r="B31" s="59">
        <v>20</v>
      </c>
      <c r="C31" s="60" t="s">
        <v>69</v>
      </c>
      <c r="D31" s="59" t="s">
        <v>38</v>
      </c>
      <c r="E31" s="61" t="s">
        <v>70</v>
      </c>
      <c r="F31" s="25" t="s">
        <v>34</v>
      </c>
      <c r="G31" s="23"/>
      <c r="H31" s="23"/>
    </row>
    <row r="32" spans="1:8" ht="22.05" customHeight="1">
      <c r="A32" s="23"/>
      <c r="B32" s="56">
        <v>21</v>
      </c>
      <c r="C32" s="57" t="s">
        <v>71</v>
      </c>
      <c r="D32" s="56" t="s">
        <v>38</v>
      </c>
      <c r="E32" s="58" t="s">
        <v>72</v>
      </c>
      <c r="F32" s="25" t="s">
        <v>34</v>
      </c>
      <c r="G32" s="23"/>
      <c r="H32" s="23"/>
    </row>
    <row r="33" spans="1:8" ht="22.05" customHeight="1">
      <c r="A33" s="23"/>
      <c r="B33" s="59">
        <v>22</v>
      </c>
      <c r="C33" s="60" t="s">
        <v>73</v>
      </c>
      <c r="D33" s="59" t="s">
        <v>38</v>
      </c>
      <c r="E33" s="61" t="s">
        <v>74</v>
      </c>
      <c r="F33" s="25" t="s">
        <v>34</v>
      </c>
      <c r="G33" s="23"/>
      <c r="H33" s="23"/>
    </row>
    <row r="34" spans="1:8" ht="22.05" customHeight="1">
      <c r="A34" s="23"/>
      <c r="B34" s="56">
        <v>23</v>
      </c>
      <c r="C34" s="57" t="s">
        <v>75</v>
      </c>
      <c r="D34" s="56" t="s">
        <v>38</v>
      </c>
      <c r="E34" s="58" t="s">
        <v>76</v>
      </c>
      <c r="F34" s="25" t="s">
        <v>34</v>
      </c>
      <c r="G34" s="23"/>
      <c r="H34" s="23"/>
    </row>
    <row r="35" spans="1:8" ht="22.05" customHeight="1">
      <c r="A35" s="23"/>
      <c r="B35" s="59">
        <v>24</v>
      </c>
      <c r="C35" s="60" t="s">
        <v>77</v>
      </c>
      <c r="D35" s="59" t="s">
        <v>38</v>
      </c>
      <c r="E35" s="61" t="s">
        <v>78</v>
      </c>
      <c r="F35" s="25" t="s">
        <v>34</v>
      </c>
      <c r="G35" s="23"/>
      <c r="H35" s="23"/>
    </row>
    <row r="36" spans="1:8" ht="22.05" customHeight="1">
      <c r="A36" s="23"/>
      <c r="B36" s="56">
        <v>25</v>
      </c>
      <c r="C36" s="57" t="s">
        <v>79</v>
      </c>
      <c r="D36" s="56" t="s">
        <v>32</v>
      </c>
      <c r="E36" s="58" t="s">
        <v>80</v>
      </c>
      <c r="F36" s="25" t="s">
        <v>34</v>
      </c>
      <c r="G36" s="23"/>
      <c r="H36" s="23"/>
    </row>
    <row r="37" spans="1:8" ht="22.05" customHeight="1">
      <c r="A37" s="23"/>
      <c r="B37" s="59">
        <v>26</v>
      </c>
      <c r="C37" s="60" t="s">
        <v>13</v>
      </c>
      <c r="D37" s="59" t="s">
        <v>32</v>
      </c>
      <c r="E37" s="61" t="s">
        <v>81</v>
      </c>
      <c r="F37" s="25" t="s">
        <v>34</v>
      </c>
      <c r="G37" s="23"/>
      <c r="H37" s="23"/>
    </row>
    <row r="38" spans="1:8" ht="22.05" customHeight="1">
      <c r="A38" s="23"/>
      <c r="B38" s="56">
        <v>27</v>
      </c>
      <c r="C38" s="57" t="s">
        <v>82</v>
      </c>
      <c r="D38" s="56" t="s">
        <v>32</v>
      </c>
      <c r="E38" s="58" t="s">
        <v>83</v>
      </c>
      <c r="F38" s="25" t="s">
        <v>34</v>
      </c>
      <c r="G38" s="23"/>
      <c r="H38" s="23"/>
    </row>
    <row r="39" spans="1:8" ht="22.05" customHeight="1">
      <c r="A39" s="23"/>
      <c r="B39" s="59">
        <v>28</v>
      </c>
      <c r="C39" s="60" t="s">
        <v>15</v>
      </c>
      <c r="D39" s="59" t="s">
        <v>32</v>
      </c>
      <c r="E39" s="61" t="s">
        <v>84</v>
      </c>
      <c r="F39" s="25" t="s">
        <v>34</v>
      </c>
      <c r="G39" s="23"/>
      <c r="H39" s="23"/>
    </row>
    <row r="40" spans="1:8" ht="22.05" customHeight="1">
      <c r="A40" s="23"/>
      <c r="B40" s="56">
        <v>29</v>
      </c>
      <c r="C40" s="57" t="s">
        <v>16</v>
      </c>
      <c r="D40" s="56" t="s">
        <v>26</v>
      </c>
      <c r="E40" s="58" t="s">
        <v>85</v>
      </c>
      <c r="F40" s="25" t="s">
        <v>34</v>
      </c>
      <c r="G40" s="23"/>
      <c r="H40" s="23"/>
    </row>
    <row r="41" spans="1:8" ht="22.05" customHeight="1">
      <c r="A41" s="23"/>
      <c r="B41" s="59">
        <v>30</v>
      </c>
      <c r="C41" s="60" t="s">
        <v>17</v>
      </c>
      <c r="D41" s="59" t="s">
        <v>26</v>
      </c>
      <c r="E41" s="61" t="s">
        <v>86</v>
      </c>
      <c r="F41" s="25" t="s">
        <v>34</v>
      </c>
      <c r="G41" s="23"/>
      <c r="H41" s="23"/>
    </row>
    <row r="42" spans="1:8" ht="22.05" customHeight="1">
      <c r="A42" s="23"/>
      <c r="B42" s="56">
        <v>31</v>
      </c>
      <c r="C42" s="57" t="s">
        <v>18</v>
      </c>
      <c r="D42" s="56" t="s">
        <v>26</v>
      </c>
      <c r="E42" s="58" t="s">
        <v>87</v>
      </c>
      <c r="F42" s="25" t="s">
        <v>34</v>
      </c>
      <c r="G42" s="23"/>
      <c r="H42" s="23"/>
    </row>
    <row r="43" spans="1:8" ht="22.05" customHeight="1">
      <c r="A43" s="23"/>
      <c r="B43" s="59">
        <v>32</v>
      </c>
      <c r="C43" s="60" t="s">
        <v>88</v>
      </c>
      <c r="D43" s="59" t="s">
        <v>32</v>
      </c>
      <c r="E43" s="61" t="s">
        <v>89</v>
      </c>
      <c r="F43" s="25" t="s">
        <v>34</v>
      </c>
      <c r="G43" s="23"/>
      <c r="H43" s="23"/>
    </row>
    <row r="44" spans="1:8" ht="22.05" customHeight="1">
      <c r="A44" s="23"/>
      <c r="B44" s="23"/>
      <c r="C44" s="23"/>
      <c r="D44" s="23"/>
      <c r="E44" s="23"/>
      <c r="F44" s="23"/>
      <c r="G44" s="23"/>
      <c r="H44" s="23"/>
    </row>
    <row r="45" spans="1:8" ht="22.05" customHeight="1">
      <c r="A45" s="23"/>
      <c r="B45" s="85" t="s">
        <v>449</v>
      </c>
      <c r="C45" s="84"/>
      <c r="D45" s="84"/>
      <c r="E45" s="84"/>
      <c r="F45" s="84"/>
      <c r="G45" s="84"/>
      <c r="H45" s="84"/>
    </row>
    <row r="46" spans="1:8" ht="22.05" customHeight="1">
      <c r="A46" s="23"/>
      <c r="B46" s="84"/>
      <c r="C46" s="86"/>
      <c r="D46" s="86"/>
      <c r="E46" s="86"/>
      <c r="F46" s="86"/>
      <c r="G46" s="86"/>
      <c r="H46" s="84"/>
    </row>
    <row r="47" spans="1:8" ht="22.05" customHeight="1">
      <c r="A47" s="23"/>
      <c r="B47" s="84"/>
      <c r="C47" s="84"/>
      <c r="D47" s="84"/>
      <c r="E47" s="84"/>
      <c r="F47" s="84"/>
      <c r="G47" s="84"/>
      <c r="H47" s="84"/>
    </row>
    <row r="48" spans="1:8" ht="22.05" customHeight="1">
      <c r="A48" s="23"/>
      <c r="B48" s="23"/>
      <c r="C48" s="23"/>
      <c r="D48" s="23"/>
      <c r="E48" s="23"/>
      <c r="F48" s="23"/>
      <c r="G48" s="23"/>
      <c r="H48" s="23"/>
    </row>
    <row r="49" spans="1:8" ht="22.05" customHeight="1">
      <c r="A49" s="23"/>
      <c r="B49" s="23"/>
      <c r="C49" s="23"/>
      <c r="D49" s="23"/>
      <c r="E49" s="23"/>
      <c r="F49" s="23"/>
      <c r="G49" s="23"/>
      <c r="H49" s="23"/>
    </row>
    <row r="50" spans="1:8" ht="22.05" customHeight="1">
      <c r="A50" s="23"/>
      <c r="B50" s="23"/>
      <c r="C50" s="23"/>
      <c r="D50" s="23"/>
      <c r="E50" s="23"/>
      <c r="F50" s="23"/>
      <c r="G50" s="23"/>
      <c r="H50" s="23"/>
    </row>
    <row r="51" spans="1:8" ht="22.05" customHeight="1">
      <c r="A51" s="23"/>
      <c r="B51" s="23"/>
      <c r="C51" s="23"/>
      <c r="D51" s="23"/>
      <c r="E51" s="23"/>
      <c r="F51" s="23"/>
      <c r="G51" s="23"/>
      <c r="H51" s="23"/>
    </row>
    <row r="52" spans="1:8" ht="22.05" customHeight="1">
      <c r="A52" s="23"/>
      <c r="B52" s="23"/>
      <c r="C52" s="23"/>
      <c r="D52" s="23"/>
      <c r="E52" s="23"/>
      <c r="F52" s="23"/>
      <c r="G52" s="23"/>
      <c r="H52" s="23"/>
    </row>
    <row r="53" spans="1:8" ht="22.05" customHeight="1">
      <c r="A53" s="23"/>
      <c r="B53" s="23"/>
      <c r="C53" s="23"/>
      <c r="D53" s="23"/>
      <c r="E53" s="23"/>
      <c r="F53" s="23"/>
      <c r="G53" s="23"/>
      <c r="H53" s="23"/>
    </row>
    <row r="54" spans="1:8" ht="22.05" customHeight="1">
      <c r="A54" s="23"/>
      <c r="B54" s="23"/>
      <c r="C54" s="23"/>
      <c r="D54" s="23"/>
      <c r="E54" s="23"/>
      <c r="F54" s="23"/>
      <c r="G54" s="23"/>
      <c r="H54" s="23"/>
    </row>
    <row r="55" spans="1:8" ht="22.05" customHeight="1">
      <c r="A55" s="23"/>
      <c r="B55" s="23"/>
      <c r="C55" s="23"/>
      <c r="D55" s="23"/>
      <c r="E55" s="23"/>
      <c r="F55" s="23"/>
      <c r="G55" s="23"/>
      <c r="H55" s="23"/>
    </row>
    <row r="56" spans="1:8" ht="22.05" customHeight="1">
      <c r="A56" s="23"/>
      <c r="B56" s="23"/>
      <c r="C56" s="23"/>
      <c r="D56" s="23"/>
      <c r="E56" s="23"/>
      <c r="F56" s="23"/>
      <c r="G56" s="23"/>
      <c r="H56" s="23"/>
    </row>
    <row r="57" spans="1:8" ht="22.05" customHeight="1">
      <c r="A57" s="23"/>
      <c r="B57" s="23"/>
      <c r="C57" s="23"/>
      <c r="D57" s="23"/>
      <c r="E57" s="23"/>
      <c r="F57" s="23"/>
      <c r="G57" s="23"/>
      <c r="H57" s="23"/>
    </row>
    <row r="58" spans="1:8" ht="22.05" customHeight="1">
      <c r="A58" s="23"/>
      <c r="B58" s="23"/>
      <c r="C58" s="23"/>
      <c r="D58" s="23"/>
      <c r="E58" s="23"/>
      <c r="F58" s="23"/>
      <c r="G58" s="23"/>
      <c r="H58" s="23"/>
    </row>
    <row r="59" spans="1:8" ht="22.05" customHeight="1">
      <c r="A59" s="23"/>
      <c r="B59" s="23"/>
      <c r="C59" s="23"/>
      <c r="D59" s="23"/>
      <c r="E59" s="23"/>
      <c r="F59" s="23"/>
      <c r="G59" s="23"/>
      <c r="H59" s="23"/>
    </row>
    <row r="60" spans="1:8" ht="22.05" customHeight="1">
      <c r="A60" s="23"/>
      <c r="B60" s="23"/>
      <c r="C60" s="23"/>
      <c r="D60" s="23"/>
      <c r="E60" s="23"/>
      <c r="F60" s="23"/>
      <c r="G60" s="23"/>
      <c r="H60" s="23"/>
    </row>
    <row r="61" spans="1:8" ht="22.05" customHeight="1">
      <c r="A61" s="23"/>
      <c r="B61" s="23"/>
      <c r="C61" s="23"/>
      <c r="D61" s="23"/>
      <c r="E61" s="23"/>
      <c r="F61" s="23"/>
      <c r="G61" s="23"/>
      <c r="H61" s="23"/>
    </row>
    <row r="62" spans="1:8" ht="22.05" customHeight="1">
      <c r="A62" s="23"/>
      <c r="B62" s="23"/>
      <c r="C62" s="23"/>
      <c r="D62" s="23"/>
      <c r="E62" s="23"/>
      <c r="F62" s="23"/>
      <c r="G62" s="23"/>
      <c r="H62" s="23"/>
    </row>
    <row r="63" spans="1:8" ht="22.05" customHeight="1">
      <c r="A63" s="23"/>
      <c r="B63" s="23"/>
      <c r="C63" s="23"/>
      <c r="D63" s="23"/>
      <c r="E63" s="23"/>
      <c r="F63" s="23"/>
      <c r="G63" s="23"/>
      <c r="H63" s="23"/>
    </row>
    <row r="64" spans="1:8" ht="22.05" customHeight="1">
      <c r="A64" s="23"/>
      <c r="B64" s="23"/>
      <c r="C64" s="23"/>
      <c r="D64" s="23"/>
      <c r="E64" s="23"/>
      <c r="F64" s="23"/>
      <c r="G64" s="23"/>
      <c r="H64" s="23"/>
    </row>
    <row r="65" spans="1:8" ht="22.05" customHeight="1">
      <c r="A65" s="23"/>
      <c r="B65" s="23"/>
      <c r="C65" s="23"/>
      <c r="D65" s="23"/>
      <c r="E65" s="23"/>
      <c r="F65" s="23"/>
      <c r="G65" s="23"/>
      <c r="H65" s="23"/>
    </row>
    <row r="66" spans="1:8" ht="22.05" customHeight="1">
      <c r="A66" s="23"/>
      <c r="B66" s="23"/>
      <c r="C66" s="23"/>
      <c r="D66" s="23"/>
      <c r="E66" s="23"/>
      <c r="F66" s="23"/>
      <c r="G66" s="23"/>
      <c r="H66" s="23"/>
    </row>
    <row r="67" spans="1:8" ht="22.05" customHeight="1">
      <c r="A67" s="23"/>
      <c r="B67" s="23"/>
      <c r="C67" s="23"/>
      <c r="D67" s="23"/>
      <c r="E67" s="23"/>
      <c r="F67" s="23"/>
      <c r="G67" s="23"/>
      <c r="H67" s="23"/>
    </row>
    <row r="68" spans="1:8" ht="22.05" customHeight="1">
      <c r="A68" s="23"/>
      <c r="B68" s="23"/>
      <c r="C68" s="23"/>
      <c r="D68" s="23"/>
      <c r="E68" s="23"/>
      <c r="F68" s="23"/>
      <c r="G68" s="23"/>
      <c r="H68" s="23"/>
    </row>
    <row r="69" spans="1:8" ht="22.05" customHeight="1">
      <c r="A69" s="23"/>
      <c r="B69" s="23"/>
      <c r="C69" s="23"/>
      <c r="D69" s="23"/>
      <c r="E69" s="23"/>
      <c r="F69" s="23"/>
      <c r="G69" s="23"/>
      <c r="H69" s="23"/>
    </row>
    <row r="70" spans="1:8" ht="22.05" customHeight="1">
      <c r="A70" s="23"/>
      <c r="B70" s="23"/>
      <c r="C70" s="23"/>
      <c r="D70" s="23"/>
      <c r="E70" s="23"/>
      <c r="F70" s="23"/>
      <c r="G70" s="23"/>
      <c r="H70" s="23"/>
    </row>
    <row r="71" spans="1:8" ht="22.05" customHeight="1">
      <c r="A71" s="23"/>
      <c r="B71" s="23"/>
      <c r="C71" s="23"/>
      <c r="D71" s="23"/>
      <c r="E71" s="23"/>
      <c r="F71" s="23"/>
      <c r="G71" s="23"/>
      <c r="H71" s="23"/>
    </row>
    <row r="72" spans="1:8" ht="22.05" customHeight="1">
      <c r="A72" s="23"/>
      <c r="B72" s="23"/>
      <c r="C72" s="23"/>
      <c r="D72" s="23"/>
      <c r="E72" s="23"/>
      <c r="F72" s="23"/>
      <c r="G72" s="23"/>
      <c r="H72" s="23"/>
    </row>
    <row r="73" spans="1:8" ht="22.05" customHeight="1">
      <c r="A73" s="23"/>
      <c r="B73" s="23"/>
      <c r="C73" s="23"/>
      <c r="D73" s="23"/>
      <c r="E73" s="23"/>
      <c r="F73" s="23"/>
      <c r="G73" s="23"/>
      <c r="H73" s="23"/>
    </row>
    <row r="74" spans="1:8" ht="22.05" customHeight="1">
      <c r="A74" s="23"/>
      <c r="B74" s="23"/>
      <c r="C74" s="23"/>
      <c r="D74" s="23"/>
      <c r="E74" s="23"/>
      <c r="F74" s="23"/>
      <c r="G74" s="23"/>
      <c r="H74" s="23"/>
    </row>
    <row r="75" spans="1:8" ht="22.05" customHeight="1">
      <c r="A75" s="23"/>
      <c r="B75" s="23"/>
      <c r="C75" s="23"/>
      <c r="D75" s="23"/>
      <c r="E75" s="23"/>
      <c r="F75" s="23"/>
      <c r="G75" s="23"/>
      <c r="H75" s="23"/>
    </row>
    <row r="76" spans="1:8" ht="22.05" customHeight="1">
      <c r="A76" s="23"/>
      <c r="B76" s="23"/>
      <c r="C76" s="23"/>
      <c r="D76" s="23"/>
      <c r="E76" s="23"/>
      <c r="F76" s="23"/>
      <c r="G76" s="23"/>
      <c r="H76" s="23"/>
    </row>
    <row r="77" spans="1:8" ht="22.05" customHeight="1">
      <c r="A77" s="23"/>
      <c r="B77" s="23"/>
      <c r="C77" s="23"/>
      <c r="D77" s="23"/>
      <c r="E77" s="23"/>
      <c r="F77" s="23"/>
      <c r="G77" s="23"/>
      <c r="H77" s="23"/>
    </row>
    <row r="78" spans="1:8" ht="22.05" customHeight="1">
      <c r="A78" s="23"/>
      <c r="B78" s="23"/>
      <c r="C78" s="23"/>
      <c r="D78" s="23"/>
      <c r="E78" s="23"/>
      <c r="F78" s="23"/>
      <c r="G78" s="23"/>
      <c r="H78" s="23"/>
    </row>
    <row r="79" spans="1:8" ht="22.05" customHeight="1">
      <c r="A79" s="23"/>
      <c r="B79" s="23"/>
      <c r="C79" s="23"/>
      <c r="D79" s="23"/>
      <c r="E79" s="23"/>
      <c r="F79" s="23"/>
      <c r="G79" s="23"/>
      <c r="H79" s="23"/>
    </row>
    <row r="80" spans="1:8" ht="22.05" customHeight="1">
      <c r="A80" s="23"/>
      <c r="B80" s="23"/>
      <c r="C80" s="23"/>
      <c r="D80" s="23"/>
      <c r="E80" s="23"/>
      <c r="F80" s="23"/>
      <c r="G80" s="23"/>
      <c r="H80" s="23"/>
    </row>
    <row r="81" spans="1:8" ht="22.05" customHeight="1">
      <c r="A81" s="23"/>
      <c r="B81" s="23"/>
      <c r="C81" s="23"/>
      <c r="D81" s="23"/>
      <c r="E81" s="23"/>
      <c r="F81" s="23"/>
      <c r="G81" s="23"/>
      <c r="H81" s="23"/>
    </row>
    <row r="82" spans="1:8" ht="22.05" customHeight="1">
      <c r="A82" s="23"/>
      <c r="B82" s="23"/>
      <c r="C82" s="23"/>
      <c r="D82" s="23"/>
      <c r="E82" s="23"/>
      <c r="F82" s="23"/>
      <c r="G82" s="23"/>
      <c r="H82" s="23"/>
    </row>
    <row r="83" spans="1:8" ht="22.05" customHeight="1">
      <c r="A83" s="23"/>
      <c r="B83" s="23"/>
      <c r="C83" s="23"/>
      <c r="D83" s="23"/>
      <c r="E83" s="23"/>
      <c r="F83" s="23"/>
      <c r="G83" s="23"/>
      <c r="H83" s="23"/>
    </row>
    <row r="84" spans="1:8" ht="22.05" customHeight="1">
      <c r="A84" s="23"/>
      <c r="B84" s="23"/>
      <c r="C84" s="23"/>
      <c r="D84" s="23"/>
      <c r="E84" s="23"/>
      <c r="F84" s="23"/>
      <c r="G84" s="23"/>
      <c r="H84" s="23"/>
    </row>
    <row r="85" spans="1:8" ht="22.05" customHeight="1">
      <c r="A85" s="23"/>
      <c r="B85" s="23"/>
      <c r="C85" s="23"/>
      <c r="D85" s="23"/>
      <c r="E85" s="23"/>
      <c r="F85" s="23"/>
      <c r="G85" s="23"/>
      <c r="H85" s="23"/>
    </row>
    <row r="86" spans="1:8" ht="22.05" customHeight="1">
      <c r="A86" s="23"/>
      <c r="B86" s="23"/>
      <c r="C86" s="23"/>
      <c r="D86" s="23"/>
      <c r="E86" s="23"/>
      <c r="F86" s="23"/>
      <c r="G86" s="23"/>
      <c r="H86" s="23"/>
    </row>
    <row r="87" spans="1:8" ht="22.05" customHeight="1">
      <c r="A87" s="23"/>
      <c r="B87" s="23"/>
      <c r="C87" s="23"/>
      <c r="D87" s="23"/>
      <c r="E87" s="23"/>
      <c r="F87" s="23"/>
      <c r="G87" s="23"/>
      <c r="H87" s="23"/>
    </row>
    <row r="88" spans="1:8" ht="22.05" customHeight="1">
      <c r="A88" s="23"/>
      <c r="B88" s="23"/>
      <c r="C88" s="23"/>
      <c r="D88" s="23"/>
      <c r="E88" s="23"/>
      <c r="F88" s="23"/>
      <c r="G88" s="23"/>
      <c r="H88" s="23"/>
    </row>
    <row r="89" spans="1:8" ht="22.05" customHeight="1">
      <c r="A89" s="23"/>
      <c r="B89" s="23"/>
      <c r="C89" s="23"/>
      <c r="D89" s="23"/>
      <c r="E89" s="23"/>
      <c r="F89" s="23"/>
      <c r="G89" s="23"/>
      <c r="H89" s="23"/>
    </row>
    <row r="90" spans="1:8" ht="22.05" customHeight="1">
      <c r="A90" s="23"/>
      <c r="B90" s="23"/>
      <c r="C90" s="23"/>
      <c r="D90" s="23"/>
      <c r="E90" s="23"/>
      <c r="F90" s="23"/>
      <c r="G90" s="23"/>
      <c r="H90" s="23"/>
    </row>
    <row r="91" spans="1:8" ht="22.05" customHeight="1">
      <c r="A91" s="23"/>
      <c r="B91" s="23"/>
      <c r="C91" s="23"/>
      <c r="D91" s="23"/>
      <c r="E91" s="23"/>
      <c r="F91" s="23"/>
      <c r="G91" s="23"/>
      <c r="H91" s="23"/>
    </row>
    <row r="92" spans="1:8" ht="22.05" customHeight="1">
      <c r="A92" s="23"/>
      <c r="B92" s="23"/>
      <c r="C92" s="23"/>
      <c r="D92" s="23"/>
      <c r="E92" s="23"/>
      <c r="F92" s="23"/>
      <c r="G92" s="23"/>
      <c r="H92" s="23"/>
    </row>
    <row r="93" spans="1:8" ht="22.05" customHeight="1">
      <c r="A93" s="23"/>
      <c r="B93" s="23"/>
      <c r="C93" s="23"/>
      <c r="D93" s="23"/>
      <c r="E93" s="23"/>
      <c r="F93" s="23"/>
      <c r="G93" s="23"/>
      <c r="H93" s="23"/>
    </row>
    <row r="94" spans="1:8" ht="22.05" customHeight="1">
      <c r="A94" s="23"/>
      <c r="B94" s="23"/>
      <c r="C94" s="23"/>
      <c r="D94" s="23"/>
      <c r="E94" s="23"/>
      <c r="F94" s="23"/>
      <c r="G94" s="23"/>
      <c r="H94" s="23"/>
    </row>
    <row r="95" spans="1:8" ht="22.05" customHeight="1">
      <c r="A95" s="23"/>
      <c r="B95" s="23"/>
      <c r="C95" s="23"/>
      <c r="D95" s="23"/>
      <c r="E95" s="23"/>
      <c r="F95" s="23"/>
      <c r="G95" s="23"/>
      <c r="H95" s="23"/>
    </row>
    <row r="96" spans="1:8" ht="22.05" customHeight="1">
      <c r="A96" s="23"/>
      <c r="B96" s="23"/>
      <c r="C96" s="23"/>
      <c r="D96" s="23"/>
      <c r="E96" s="23"/>
      <c r="F96" s="23"/>
      <c r="G96" s="23"/>
      <c r="H96" s="23"/>
    </row>
    <row r="97" spans="1:8" ht="22.05" customHeight="1">
      <c r="A97" s="23"/>
      <c r="B97" s="23"/>
      <c r="C97" s="23"/>
      <c r="D97" s="23"/>
      <c r="E97" s="23"/>
      <c r="F97" s="23"/>
      <c r="G97" s="23"/>
      <c r="H97" s="23"/>
    </row>
    <row r="98" spans="1:8" ht="22.05" customHeight="1">
      <c r="A98" s="23"/>
      <c r="B98" s="23"/>
      <c r="C98" s="23"/>
      <c r="D98" s="23"/>
      <c r="E98" s="23"/>
      <c r="F98" s="23"/>
      <c r="G98" s="23"/>
      <c r="H98" s="23"/>
    </row>
    <row r="99" spans="1:8" ht="22.05" customHeight="1">
      <c r="A99" s="23"/>
      <c r="B99" s="23"/>
      <c r="C99" s="23"/>
      <c r="D99" s="23"/>
      <c r="E99" s="23"/>
      <c r="F99" s="23"/>
      <c r="G99" s="23"/>
      <c r="H99" s="23"/>
    </row>
    <row r="100" spans="1:8" ht="22.05" customHeight="1">
      <c r="A100" s="23"/>
      <c r="B100" s="23"/>
      <c r="C100" s="23"/>
      <c r="D100" s="23"/>
      <c r="E100" s="23"/>
      <c r="F100" s="23"/>
      <c r="G100" s="23"/>
      <c r="H100" s="23"/>
    </row>
    <row r="101" spans="1:8" ht="22.05" customHeight="1">
      <c r="A101" s="23"/>
      <c r="B101" s="23"/>
      <c r="C101" s="23"/>
      <c r="D101" s="23"/>
      <c r="E101" s="23"/>
      <c r="F101" s="23"/>
      <c r="G101" s="23"/>
      <c r="H101" s="23"/>
    </row>
    <row r="102" spans="1:8" ht="22.05" customHeight="1">
      <c r="A102" s="23"/>
      <c r="B102" s="23"/>
      <c r="C102" s="23"/>
      <c r="D102" s="23"/>
      <c r="E102" s="23"/>
      <c r="F102" s="23"/>
      <c r="G102" s="23"/>
      <c r="H102" s="23"/>
    </row>
    <row r="103" spans="1:8" ht="22.05" customHeight="1">
      <c r="A103" s="23"/>
      <c r="B103" s="23"/>
      <c r="C103" s="23"/>
      <c r="D103" s="23"/>
      <c r="E103" s="23"/>
      <c r="F103" s="23"/>
      <c r="G103" s="23"/>
      <c r="H103" s="23"/>
    </row>
    <row r="104" spans="1:8" ht="22.05" customHeight="1">
      <c r="A104" s="23"/>
      <c r="B104" s="23"/>
      <c r="C104" s="23"/>
      <c r="D104" s="23"/>
      <c r="E104" s="23"/>
      <c r="F104" s="23"/>
      <c r="G104" s="23"/>
      <c r="H104" s="23"/>
    </row>
    <row r="105" spans="1:8" ht="22.05" customHeight="1">
      <c r="A105" s="23"/>
      <c r="B105" s="23"/>
      <c r="C105" s="23"/>
      <c r="D105" s="23"/>
      <c r="E105" s="23"/>
      <c r="F105" s="23"/>
      <c r="G105" s="23"/>
      <c r="H105" s="23"/>
    </row>
    <row r="106" spans="1:8" ht="22.05" customHeight="1">
      <c r="A106" s="23"/>
      <c r="B106" s="23"/>
      <c r="C106" s="23"/>
      <c r="D106" s="23"/>
      <c r="E106" s="23"/>
      <c r="F106" s="23"/>
      <c r="G106" s="23"/>
      <c r="H106" s="23"/>
    </row>
    <row r="107" spans="1:8" ht="22.05" customHeight="1">
      <c r="A107" s="23"/>
      <c r="B107" s="23"/>
      <c r="C107" s="23"/>
      <c r="D107" s="23"/>
      <c r="E107" s="23"/>
      <c r="F107" s="23"/>
      <c r="G107" s="23"/>
      <c r="H107" s="23"/>
    </row>
    <row r="108" spans="1:8" ht="22.05" customHeight="1">
      <c r="A108" s="23"/>
      <c r="B108" s="23"/>
      <c r="C108" s="23"/>
      <c r="D108" s="23"/>
      <c r="E108" s="23"/>
      <c r="F108" s="23"/>
      <c r="G108" s="23"/>
      <c r="H108" s="23"/>
    </row>
    <row r="109" spans="1:8" ht="22.05" customHeight="1">
      <c r="A109" s="23"/>
      <c r="B109" s="23"/>
      <c r="C109" s="23"/>
      <c r="D109" s="23"/>
      <c r="E109" s="23"/>
      <c r="F109" s="23"/>
      <c r="G109" s="23"/>
      <c r="H109" s="23"/>
    </row>
    <row r="110" spans="1:8" ht="22.05" customHeight="1">
      <c r="A110" s="23"/>
      <c r="B110" s="23"/>
      <c r="C110" s="23"/>
      <c r="D110" s="23"/>
      <c r="E110" s="23"/>
      <c r="F110" s="23"/>
      <c r="G110" s="23"/>
      <c r="H110" s="23"/>
    </row>
    <row r="111" spans="1:8" ht="22.05" customHeight="1">
      <c r="A111" s="23"/>
      <c r="B111" s="23"/>
      <c r="C111" s="23"/>
      <c r="D111" s="23"/>
      <c r="E111" s="23"/>
      <c r="F111" s="23"/>
      <c r="G111" s="23"/>
      <c r="H111" s="23"/>
    </row>
    <row r="112" spans="1:8" ht="22.05" customHeight="1">
      <c r="A112" s="23"/>
      <c r="B112" s="23"/>
      <c r="C112" s="23"/>
      <c r="D112" s="23"/>
      <c r="E112" s="23"/>
      <c r="F112" s="23"/>
      <c r="G112" s="23"/>
      <c r="H112" s="23"/>
    </row>
    <row r="113" spans="1:8" ht="22.05" customHeight="1">
      <c r="A113" s="23"/>
      <c r="B113" s="23"/>
      <c r="C113" s="23"/>
      <c r="D113" s="23"/>
      <c r="E113" s="23"/>
      <c r="F113" s="23"/>
      <c r="G113" s="23"/>
      <c r="H113" s="23"/>
    </row>
    <row r="114" spans="1:8" ht="22.05" customHeight="1">
      <c r="A114" s="23"/>
      <c r="B114" s="23"/>
      <c r="C114" s="23"/>
      <c r="D114" s="23"/>
      <c r="E114" s="23"/>
      <c r="F114" s="23"/>
      <c r="G114" s="23"/>
      <c r="H114" s="23"/>
    </row>
    <row r="115" spans="1:8" ht="22.05" customHeight="1">
      <c r="A115" s="23"/>
      <c r="B115" s="23"/>
      <c r="C115" s="23"/>
      <c r="D115" s="23"/>
      <c r="E115" s="23"/>
      <c r="F115" s="23"/>
      <c r="G115" s="23"/>
      <c r="H115" s="23"/>
    </row>
    <row r="116" spans="1:8" ht="22.05" customHeight="1">
      <c r="A116" s="23"/>
      <c r="B116" s="23"/>
      <c r="C116" s="23"/>
      <c r="D116" s="23"/>
      <c r="E116" s="23"/>
      <c r="F116" s="23"/>
      <c r="G116" s="23"/>
      <c r="H116" s="23"/>
    </row>
    <row r="117" spans="1:8" ht="22.05" customHeight="1">
      <c r="A117" s="23"/>
      <c r="B117" s="23"/>
      <c r="C117" s="23"/>
      <c r="D117" s="23"/>
      <c r="E117" s="23"/>
      <c r="F117" s="23"/>
      <c r="G117" s="23"/>
      <c r="H117" s="23"/>
    </row>
    <row r="118" spans="1:8" ht="22.05" customHeight="1">
      <c r="A118" s="23"/>
      <c r="B118" s="23"/>
      <c r="C118" s="23"/>
      <c r="D118" s="23"/>
      <c r="E118" s="23"/>
      <c r="F118" s="23"/>
      <c r="G118" s="23"/>
      <c r="H118" s="23"/>
    </row>
    <row r="119" spans="1:8" ht="22.05" customHeight="1">
      <c r="A119" s="23"/>
      <c r="B119" s="23"/>
      <c r="C119" s="23"/>
      <c r="D119" s="23"/>
      <c r="E119" s="23"/>
      <c r="F119" s="23"/>
      <c r="G119" s="23"/>
      <c r="H119" s="23"/>
    </row>
  </sheetData>
  <mergeCells count="6">
    <mergeCell ref="F8:G9"/>
    <mergeCell ref="D8:E9"/>
    <mergeCell ref="B8:C9"/>
    <mergeCell ref="B45:H47"/>
    <mergeCell ref="B2:H3"/>
    <mergeCell ref="B5:H6"/>
  </mergeCells>
  <hyperlinks>
    <hyperlink ref="B8" location="'Cover'!A1" display="Cover" xr:uid="{00000000-0004-0000-0100-000000000000}"/>
    <hyperlink ref="D8" location="'Executive Dashboard'!A1" display="Dashboard" xr:uid="{00000000-0004-0000-0100-000001000000}"/>
    <hyperlink ref="F8" location="'Live KPI Overview'!A1" display="Analytics" xr:uid="{00000000-0004-0000-0100-000002000000}"/>
    <hyperlink ref="C12" location="'Cover'!A1" display="Cover" xr:uid="{00000000-0004-0000-0100-000003000000}"/>
    <hyperlink ref="F12" location="'Cover'!A1" display="OPEN" xr:uid="{00000000-0004-0000-0100-000004000000}"/>
    <hyperlink ref="C13" location="'Index'!A1" display="Index" xr:uid="{00000000-0004-0000-0100-000005000000}"/>
    <hyperlink ref="F13" location="'Index'!A1" display="OPEN" xr:uid="{00000000-0004-0000-0100-000006000000}"/>
    <hyperlink ref="C14" location="'Framework Library'!A1" display="Framework Library" xr:uid="{00000000-0004-0000-0100-000007000000}"/>
    <hyperlink ref="F14" location="'Framework Library'!A1" display="OPEN" xr:uid="{00000000-0004-0000-0100-000008000000}"/>
    <hyperlink ref="C15" location="'Regulatory Register'!A1" display="Regulatory Register" xr:uid="{00000000-0004-0000-0100-000009000000}"/>
    <hyperlink ref="F15" location="'Regulatory Register'!A1" display="OPEN" xr:uid="{00000000-0004-0000-0100-00000A000000}"/>
    <hyperlink ref="C16" location="'Control Library'!A1" display="Control Library" xr:uid="{00000000-0004-0000-0100-00000B000000}"/>
    <hyperlink ref="F16" location="'Control Library'!A1" display="OPEN" xr:uid="{00000000-0004-0000-0100-00000C000000}"/>
    <hyperlink ref="C17" location="'Assessments'!A1" display="Assessments" xr:uid="{00000000-0004-0000-0100-00000D000000}"/>
    <hyperlink ref="F17" location="'Assessments'!A1" display="OPEN" xr:uid="{00000000-0004-0000-0100-00000E000000}"/>
    <hyperlink ref="C18" location="'Evidence Register'!A1" display="Evidence Register" xr:uid="{00000000-0004-0000-0100-00000F000000}"/>
    <hyperlink ref="F18" location="'Evidence Register'!A1" display="OPEN" xr:uid="{00000000-0004-0000-0100-000010000000}"/>
    <hyperlink ref="C19" location="'Risk Register'!A1" display="Risk Register" xr:uid="{00000000-0004-0000-0100-000011000000}"/>
    <hyperlink ref="F19" location="'Risk Register'!A1" display="OPEN" xr:uid="{00000000-0004-0000-0100-000012000000}"/>
    <hyperlink ref="C20" location="'Risk Treatments'!A1" display="Risk Treatments" xr:uid="{00000000-0004-0000-0100-000013000000}"/>
    <hyperlink ref="F20" location="'Risk Treatments'!A1" display="OPEN" xr:uid="{00000000-0004-0000-0100-000014000000}"/>
    <hyperlink ref="C21" location="'Audit Findings'!A1" display="Audit Findings" xr:uid="{00000000-0004-0000-0100-000015000000}"/>
    <hyperlink ref="F21" location="'Audit Findings'!A1" display="OPEN" xr:uid="{00000000-0004-0000-0100-000016000000}"/>
    <hyperlink ref="C22" location="'Corrective Actions'!A1" display="Corrective Actions" xr:uid="{00000000-0004-0000-0100-000017000000}"/>
    <hyperlink ref="F22" location="'Corrective Actions'!A1" display="OPEN" xr:uid="{00000000-0004-0000-0100-000018000000}"/>
    <hyperlink ref="C23" location="'Compliance Exceptions'!A1" display="Compliance Exceptions" xr:uid="{00000000-0004-0000-0100-000019000000}"/>
    <hyperlink ref="F23" location="'Compliance Exceptions'!A1" display="OPEN" xr:uid="{00000000-0004-0000-0100-00001A000000}"/>
    <hyperlink ref="C24" location="'Third Parties'!A1" display="Third Parties" xr:uid="{00000000-0004-0000-0100-00001B000000}"/>
    <hyperlink ref="F24" location="'Third Parties'!A1" display="OPEN" xr:uid="{00000000-0004-0000-0100-00001C000000}"/>
    <hyperlink ref="C25" location="'Privacy Governance'!A1" display="Privacy Governance" xr:uid="{00000000-0004-0000-0100-00001D000000}"/>
    <hyperlink ref="F25" location="'Privacy Governance'!A1" display="OPEN" xr:uid="{00000000-0004-0000-0100-00001E000000}"/>
    <hyperlink ref="C26" location="'Policies'!A1" display="Policies" xr:uid="{00000000-0004-0000-0100-00001F000000}"/>
    <hyperlink ref="F26" location="'Policies'!A1" display="OPEN" xr:uid="{00000000-0004-0000-0100-000020000000}"/>
    <hyperlink ref="C27" location="'Incidents'!A1" display="Incidents" xr:uid="{00000000-0004-0000-0100-000021000000}"/>
    <hyperlink ref="F27" location="'Incidents'!A1" display="OPEN" xr:uid="{00000000-0004-0000-0100-000022000000}"/>
    <hyperlink ref="C28" location="'Business Continuity'!A1" display="Business Continuity" xr:uid="{00000000-0004-0000-0100-000023000000}"/>
    <hyperlink ref="F28" location="'Business Continuity'!A1" display="OPEN" xr:uid="{00000000-0004-0000-0100-000024000000}"/>
    <hyperlink ref="C29" location="'KPI Catalogue'!A1" display="KPI Catalogue" xr:uid="{00000000-0004-0000-0100-000025000000}"/>
    <hyperlink ref="F29" location="'KPI Catalogue'!A1" display="OPEN" xr:uid="{00000000-0004-0000-0100-000026000000}"/>
    <hyperlink ref="C30" location="'KPI Results'!A1" display="KPI Results" xr:uid="{00000000-0004-0000-0100-000027000000}"/>
    <hyperlink ref="F30" location="'KPI Results'!A1" display="OPEN" xr:uid="{00000000-0004-0000-0100-000028000000}"/>
    <hyperlink ref="C31" location="'Crosswalk'!A1" display="Crosswalk" xr:uid="{00000000-0004-0000-0100-000029000000}"/>
    <hyperlink ref="F31" location="'Crosswalk'!A1" display="OPEN" xr:uid="{00000000-0004-0000-0100-00002A000000}"/>
    <hyperlink ref="C32" location="'Regulatory Review Queue'!A1" display="Regulatory Review Queue" xr:uid="{00000000-0004-0000-0100-00002B000000}"/>
    <hyperlink ref="F32" location="'Regulatory Review Queue'!A1" display="OPEN" xr:uid="{00000000-0004-0000-0100-00002C000000}"/>
    <hyperlink ref="C33" location="'Risk History'!A1" display="Risk History" xr:uid="{00000000-0004-0000-0100-00002D000000}"/>
    <hyperlink ref="F33" location="'Risk History'!A1" display="OPEN" xr:uid="{00000000-0004-0000-0100-00002E000000}"/>
    <hyperlink ref="C34" location="'Change Log'!A1" display="Change Log" xr:uid="{00000000-0004-0000-0100-00002F000000}"/>
    <hyperlink ref="F34" location="'Change Log'!A1" display="OPEN" xr:uid="{00000000-0004-0000-0100-000030000000}"/>
    <hyperlink ref="C35" location="'QA Results'!A1" display="QA Results" xr:uid="{00000000-0004-0000-0100-000031000000}"/>
    <hyperlink ref="F35" location="'QA Results'!A1" display="OPEN" xr:uid="{00000000-0004-0000-0100-000032000000}"/>
    <hyperlink ref="C36" location="'Start Here'!A1" display="Start Here" xr:uid="{00000000-0004-0000-0100-000033000000}"/>
    <hyperlink ref="F36" location="'Start Here'!A1" display="OPEN" xr:uid="{00000000-0004-0000-0100-000034000000}"/>
    <hyperlink ref="C37" location="'Executive Dashboard'!A1" display="Executive Dashboard" xr:uid="{00000000-0004-0000-0100-000035000000}"/>
    <hyperlink ref="F37" location="'Executive Dashboard'!A1" display="OPEN" xr:uid="{00000000-0004-0000-0100-000036000000}"/>
    <hyperlink ref="C38" location="'Methodology'!A1" display="Methodology" xr:uid="{00000000-0004-0000-0100-000037000000}"/>
    <hyperlink ref="F38" location="'Methodology'!A1" display="OPEN" xr:uid="{00000000-0004-0000-0100-000038000000}"/>
    <hyperlink ref="C39" location="'Framework Navigator'!A1" display="Framework Navigator" xr:uid="{00000000-0004-0000-0100-000039000000}"/>
    <hyperlink ref="F39" location="'Framework Navigator'!A1" display="OPEN" xr:uid="{00000000-0004-0000-0100-00003A000000}"/>
    <hyperlink ref="C40" location="'Compliance Analytics'!A1" display="Compliance Analytics" xr:uid="{00000000-0004-0000-0100-00003B000000}"/>
    <hyperlink ref="F40" location="'Compliance Analytics'!A1" display="OPEN" xr:uid="{00000000-0004-0000-0100-00003C000000}"/>
    <hyperlink ref="C41" location="'Risk Analytics'!A1" display="Risk Analytics" xr:uid="{00000000-0004-0000-0100-00003D000000}"/>
    <hyperlink ref="F41" location="'Risk Analytics'!A1" display="OPEN" xr:uid="{00000000-0004-0000-0100-00003E000000}"/>
    <hyperlink ref="C42" location="'Operations Analytics'!A1" display="Operations Analytics" xr:uid="{00000000-0004-0000-0100-00003F000000}"/>
    <hyperlink ref="F42" location="'Operations Analytics'!A1" display="OPEN" xr:uid="{00000000-0004-0000-0100-000040000000}"/>
    <hyperlink ref="C43" location="'Live KPI Overview'!A1" display="Live KPI Overview" xr:uid="{00000000-0004-0000-0100-000041000000}"/>
    <hyperlink ref="F43" location="'Live KPI Overview'!A1" display="OPEN" xr:uid="{00000000-0004-0000-0100-000042000000}"/>
  </hyperlinks>
  <pageMargins left="0.75" right="0.75" top="1" bottom="1" header="0.5" footer="0.5"/>
  <headerFooter>
    <oddFooter>&amp;LMohammed Nawaf&amp;CCybersecurity GRC Intelligence Suite&amp;RPage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50"/>
  <sheetViews>
    <sheetView showGridLines="0" workbookViewId="0">
      <pane ySplit="1" topLeftCell="A2" activePane="bottomLeft" state="frozen"/>
      <selection pane="bottomLeft" sqref="A1:J121"/>
    </sheetView>
  </sheetViews>
  <sheetFormatPr defaultRowHeight="13.8"/>
  <cols>
    <col min="1" max="1" width="17" customWidth="1"/>
    <col min="2" max="2" width="45.3984375" customWidth="1"/>
    <col min="3" max="4" width="17" customWidth="1"/>
    <col min="5" max="5" width="27.296875" customWidth="1"/>
    <col min="6" max="6" width="35" customWidth="1"/>
    <col min="7" max="7" width="37.09765625" customWidth="1"/>
    <col min="8" max="8" width="23" customWidth="1"/>
    <col min="9" max="9" width="17.296875" customWidth="1"/>
    <col min="10" max="10" width="17" customWidth="1"/>
    <col min="11" max="11" width="19.19921875" customWidth="1"/>
    <col min="12" max="21" width="19" customWidth="1"/>
    <col min="24" max="27" width="13" customWidth="1"/>
  </cols>
  <sheetData>
    <row r="1" spans="1:27" ht="34.950000000000003" customHeight="1">
      <c r="A1" s="29" t="s">
        <v>90</v>
      </c>
      <c r="B1" s="29" t="s">
        <v>91</v>
      </c>
      <c r="C1" s="29" t="s">
        <v>92</v>
      </c>
      <c r="D1" s="29" t="s">
        <v>93</v>
      </c>
      <c r="E1" s="29" t="s">
        <v>94</v>
      </c>
      <c r="F1" s="29" t="s">
        <v>95</v>
      </c>
      <c r="G1" s="29" t="s">
        <v>96</v>
      </c>
      <c r="H1" s="29" t="s">
        <v>97</v>
      </c>
      <c r="I1" s="29" t="s">
        <v>98</v>
      </c>
      <c r="J1" s="29" t="s">
        <v>99</v>
      </c>
      <c r="K1" s="4" t="s">
        <v>100</v>
      </c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 t="s">
        <v>101</v>
      </c>
      <c r="B2" s="30" t="s">
        <v>102</v>
      </c>
      <c r="C2" s="30" t="s">
        <v>103</v>
      </c>
      <c r="D2" s="30" t="s">
        <v>104</v>
      </c>
      <c r="E2" s="30"/>
      <c r="F2" s="30" t="s">
        <v>105</v>
      </c>
      <c r="G2" s="30" t="s">
        <v>106</v>
      </c>
      <c r="H2" s="30" t="s">
        <v>107</v>
      </c>
      <c r="I2" s="30"/>
      <c r="J2" s="30"/>
      <c r="K2" s="7" t="s">
        <v>108</v>
      </c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 t="s">
        <v>109</v>
      </c>
      <c r="B3" s="30" t="s">
        <v>110</v>
      </c>
      <c r="C3" s="30" t="s">
        <v>103</v>
      </c>
      <c r="D3" s="30" t="s">
        <v>104</v>
      </c>
      <c r="E3" s="30"/>
      <c r="F3" s="30" t="s">
        <v>105</v>
      </c>
      <c r="G3" s="30" t="s">
        <v>106</v>
      </c>
      <c r="H3" s="30" t="s">
        <v>107</v>
      </c>
      <c r="I3" s="30"/>
      <c r="J3" s="30"/>
      <c r="K3" s="2" t="s">
        <v>108</v>
      </c>
      <c r="L3" s="2"/>
      <c r="M3" s="2"/>
      <c r="N3" s="2"/>
      <c r="O3" s="2"/>
      <c r="P3" s="2"/>
    </row>
    <row r="4" spans="1:27" ht="22.95" customHeight="1">
      <c r="A4" s="30" t="s">
        <v>111</v>
      </c>
      <c r="B4" s="30" t="s">
        <v>112</v>
      </c>
      <c r="C4" s="30" t="s">
        <v>103</v>
      </c>
      <c r="D4" s="30" t="s">
        <v>104</v>
      </c>
      <c r="E4" s="30"/>
      <c r="F4" s="30" t="s">
        <v>105</v>
      </c>
      <c r="G4" s="30" t="s">
        <v>106</v>
      </c>
      <c r="H4" s="30" t="s">
        <v>107</v>
      </c>
      <c r="I4" s="30"/>
      <c r="J4" s="30"/>
      <c r="K4" s="2" t="s">
        <v>108</v>
      </c>
      <c r="L4" s="2"/>
      <c r="M4" s="2"/>
      <c r="N4" s="2"/>
      <c r="O4" s="2"/>
      <c r="P4" s="2"/>
    </row>
    <row r="5" spans="1:27" ht="22.95" customHeight="1">
      <c r="A5" s="30" t="s">
        <v>113</v>
      </c>
      <c r="B5" s="30" t="s">
        <v>114</v>
      </c>
      <c r="C5" s="30" t="s">
        <v>115</v>
      </c>
      <c r="D5" s="30" t="s">
        <v>104</v>
      </c>
      <c r="E5" s="30"/>
      <c r="F5" s="30" t="s">
        <v>116</v>
      </c>
      <c r="G5" s="30" t="s">
        <v>117</v>
      </c>
      <c r="H5" s="30" t="s">
        <v>107</v>
      </c>
      <c r="I5" s="30"/>
      <c r="J5" s="30"/>
      <c r="K5" s="2" t="s">
        <v>118</v>
      </c>
      <c r="L5" s="2"/>
      <c r="M5" s="2"/>
      <c r="N5" s="2"/>
      <c r="O5" s="2"/>
      <c r="P5" s="2"/>
    </row>
    <row r="6" spans="1:27" ht="22.95" customHeight="1">
      <c r="A6" s="30" t="s">
        <v>119</v>
      </c>
      <c r="B6" s="30" t="s">
        <v>120</v>
      </c>
      <c r="C6" s="30" t="s">
        <v>121</v>
      </c>
      <c r="D6" s="30" t="s">
        <v>104</v>
      </c>
      <c r="E6" s="30"/>
      <c r="F6" s="30" t="s">
        <v>122</v>
      </c>
      <c r="G6" s="30" t="s">
        <v>123</v>
      </c>
      <c r="H6" s="30" t="s">
        <v>107</v>
      </c>
      <c r="I6" s="30"/>
      <c r="J6" s="30"/>
      <c r="K6" s="2" t="s">
        <v>124</v>
      </c>
      <c r="L6" s="2"/>
      <c r="M6" s="2"/>
      <c r="N6" s="2"/>
      <c r="O6" s="2"/>
      <c r="P6" s="2"/>
    </row>
    <row r="7" spans="1:27" ht="22.95" customHeight="1">
      <c r="A7" s="30" t="s">
        <v>125</v>
      </c>
      <c r="B7" s="30" t="s">
        <v>126</v>
      </c>
      <c r="C7" s="30" t="s">
        <v>127</v>
      </c>
      <c r="D7" s="30" t="s">
        <v>128</v>
      </c>
      <c r="E7" s="30" t="s">
        <v>129</v>
      </c>
      <c r="F7" s="30" t="s">
        <v>130</v>
      </c>
      <c r="G7" s="30" t="s">
        <v>131</v>
      </c>
      <c r="H7" s="30" t="s">
        <v>107</v>
      </c>
      <c r="I7" s="30"/>
      <c r="J7" s="30"/>
      <c r="K7" s="2" t="s">
        <v>132</v>
      </c>
      <c r="L7" s="2"/>
      <c r="M7" s="2"/>
      <c r="N7" s="2"/>
      <c r="O7" s="2"/>
      <c r="P7" s="2"/>
    </row>
    <row r="8" spans="1:27" ht="22.95" customHeight="1">
      <c r="A8" s="30" t="s">
        <v>133</v>
      </c>
      <c r="B8" s="30" t="s">
        <v>134</v>
      </c>
      <c r="C8" s="30" t="s">
        <v>135</v>
      </c>
      <c r="D8" s="30" t="s">
        <v>128</v>
      </c>
      <c r="E8" s="30" t="s">
        <v>136</v>
      </c>
      <c r="F8" s="30" t="s">
        <v>137</v>
      </c>
      <c r="G8" s="30" t="s">
        <v>138</v>
      </c>
      <c r="H8" s="30" t="s">
        <v>107</v>
      </c>
      <c r="I8" s="30"/>
      <c r="J8" s="30"/>
      <c r="K8" s="2" t="s">
        <v>139</v>
      </c>
      <c r="L8" s="2"/>
      <c r="M8" s="2"/>
      <c r="N8" s="2"/>
      <c r="O8" s="2"/>
      <c r="P8" s="2"/>
    </row>
    <row r="9" spans="1:27" ht="22.95" customHeight="1">
      <c r="A9" s="30" t="s">
        <v>140</v>
      </c>
      <c r="B9" s="30" t="s">
        <v>141</v>
      </c>
      <c r="C9" s="30" t="s">
        <v>140</v>
      </c>
      <c r="D9" s="30" t="s">
        <v>128</v>
      </c>
      <c r="E9" s="30"/>
      <c r="F9" s="30" t="s">
        <v>142</v>
      </c>
      <c r="G9" s="30" t="s">
        <v>138</v>
      </c>
      <c r="H9" s="30" t="s">
        <v>107</v>
      </c>
      <c r="I9" s="30"/>
      <c r="J9" s="30"/>
      <c r="K9" s="2" t="s">
        <v>143</v>
      </c>
      <c r="L9" s="2"/>
      <c r="M9" s="2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2"/>
      <c r="L10" s="2"/>
      <c r="M10" s="2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2"/>
      <c r="L11" s="2"/>
      <c r="M11" s="2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2"/>
      <c r="L12" s="2"/>
      <c r="M12" s="2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2"/>
      <c r="L13" s="2"/>
      <c r="M13" s="2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2"/>
      <c r="L14" s="2"/>
      <c r="M14" s="2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2"/>
      <c r="L15" s="2"/>
      <c r="M15" s="2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2"/>
      <c r="L16" s="2"/>
      <c r="M16" s="2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2"/>
      <c r="L17" s="2"/>
      <c r="M17" s="2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2"/>
      <c r="L18" s="2"/>
      <c r="M18" s="2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2"/>
      <c r="L19" s="2"/>
      <c r="M19" s="2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2"/>
      <c r="L20" s="2"/>
      <c r="M20" s="2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2"/>
      <c r="L21" s="2"/>
      <c r="M21" s="2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2"/>
      <c r="L22" s="2"/>
      <c r="M22" s="2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2"/>
      <c r="L23" s="2"/>
      <c r="M23" s="2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2"/>
      <c r="L24" s="2"/>
      <c r="M24" s="2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2"/>
      <c r="L25" s="2"/>
      <c r="M25" s="2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2"/>
      <c r="L26" s="2"/>
      <c r="M26" s="2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2"/>
      <c r="L27" s="2"/>
      <c r="M27" s="2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2"/>
      <c r="L28" s="2"/>
      <c r="M28" s="2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2"/>
      <c r="L29" s="2"/>
      <c r="M29" s="2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2"/>
      <c r="L30" s="2"/>
      <c r="M30" s="2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2"/>
      <c r="L31" s="2"/>
      <c r="M31" s="2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2"/>
      <c r="L32" s="2"/>
      <c r="M32" s="2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2"/>
      <c r="L33" s="2"/>
      <c r="M33" s="2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2"/>
      <c r="L34" s="2"/>
      <c r="M34" s="2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2"/>
      <c r="L35" s="2"/>
      <c r="M35" s="2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2"/>
      <c r="L36" s="2"/>
      <c r="M36" s="2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2"/>
      <c r="L37" s="2"/>
      <c r="M37" s="2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2"/>
      <c r="L38" s="2"/>
      <c r="M38" s="2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2"/>
      <c r="L39" s="2"/>
      <c r="M39" s="2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2"/>
      <c r="L40" s="2"/>
      <c r="M40" s="2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2"/>
      <c r="L41" s="2"/>
      <c r="M41" s="2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2"/>
      <c r="L42" s="2"/>
      <c r="M42" s="2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2"/>
      <c r="L43" s="2"/>
      <c r="M43" s="2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2"/>
      <c r="L44" s="2"/>
      <c r="M44" s="2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2"/>
      <c r="L45" s="2"/>
      <c r="M45" s="2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2"/>
      <c r="L46" s="2"/>
      <c r="M46" s="2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2"/>
      <c r="L47" s="2"/>
      <c r="M47" s="2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2"/>
      <c r="L48" s="2"/>
      <c r="M48" s="2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2"/>
      <c r="L49" s="2"/>
      <c r="M49" s="2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2"/>
      <c r="L50" s="2"/>
      <c r="M50" s="2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2"/>
      <c r="L51" s="2"/>
      <c r="M51" s="2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2"/>
      <c r="L52" s="2"/>
      <c r="M52" s="2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2"/>
      <c r="L53" s="2"/>
      <c r="M53" s="2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2"/>
      <c r="L54" s="2"/>
      <c r="M54" s="2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2"/>
      <c r="L55" s="2"/>
      <c r="M55" s="2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2"/>
      <c r="L56" s="2"/>
      <c r="M56" s="2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2"/>
      <c r="L57" s="2"/>
      <c r="M57" s="2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2"/>
      <c r="L58" s="2"/>
      <c r="M58" s="2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2"/>
      <c r="L59" s="2"/>
      <c r="M59" s="2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2"/>
      <c r="L60" s="2"/>
      <c r="M60" s="2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2"/>
      <c r="L61" s="2"/>
      <c r="M61" s="2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2"/>
      <c r="L62" s="2"/>
      <c r="M62" s="2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2"/>
      <c r="L63" s="2"/>
      <c r="M63" s="2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2"/>
      <c r="L64" s="2"/>
      <c r="M64" s="2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2"/>
      <c r="L65" s="2"/>
      <c r="M65" s="2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2"/>
      <c r="L66" s="2"/>
      <c r="M66" s="2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2"/>
      <c r="L67" s="2"/>
      <c r="M67" s="2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2"/>
      <c r="L68" s="2"/>
      <c r="M68" s="2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2"/>
      <c r="L69" s="2"/>
      <c r="M69" s="2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2"/>
      <c r="L70" s="2"/>
      <c r="M70" s="2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2"/>
      <c r="L71" s="2"/>
      <c r="M71" s="2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2"/>
      <c r="L72" s="2"/>
      <c r="M72" s="2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2"/>
      <c r="L73" s="2"/>
      <c r="M73" s="2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2"/>
      <c r="L74" s="2"/>
      <c r="M74" s="2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2"/>
      <c r="L75" s="2"/>
      <c r="M75" s="2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2"/>
      <c r="L76" s="2"/>
      <c r="M76" s="2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2"/>
      <c r="L77" s="2"/>
      <c r="M77" s="2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2"/>
      <c r="L78" s="2"/>
      <c r="M78" s="2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2"/>
      <c r="L79" s="2"/>
      <c r="M79" s="2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2"/>
      <c r="L80" s="2"/>
      <c r="M80" s="2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2"/>
      <c r="L81" s="2"/>
      <c r="M81" s="2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2"/>
      <c r="L82" s="2"/>
      <c r="M82" s="2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2"/>
      <c r="L83" s="2"/>
      <c r="M83" s="2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2"/>
      <c r="L84" s="2"/>
      <c r="M84" s="2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2"/>
      <c r="L85" s="2"/>
      <c r="M85" s="2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2"/>
      <c r="L86" s="2"/>
      <c r="M86" s="2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2"/>
      <c r="L87" s="2"/>
      <c r="M87" s="2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2"/>
      <c r="L88" s="2"/>
      <c r="M88" s="2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2"/>
      <c r="L89" s="2"/>
      <c r="M89" s="2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2"/>
      <c r="L90" s="2"/>
      <c r="M90" s="2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2"/>
      <c r="L91" s="2"/>
      <c r="M91" s="2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2"/>
      <c r="L92" s="2"/>
      <c r="M92" s="2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2"/>
      <c r="L93" s="2"/>
      <c r="M93" s="2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2"/>
      <c r="L94" s="2"/>
      <c r="M94" s="2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2"/>
      <c r="L95" s="2"/>
      <c r="M95" s="2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2"/>
      <c r="L96" s="2"/>
      <c r="M96" s="2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2"/>
      <c r="L97" s="2"/>
      <c r="M97" s="2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2"/>
      <c r="L98" s="2"/>
      <c r="M98" s="2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2"/>
      <c r="L99" s="2"/>
      <c r="M99" s="2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2"/>
      <c r="L100" s="2"/>
      <c r="M100" s="2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2"/>
      <c r="L101" s="2"/>
      <c r="M101" s="2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2"/>
      <c r="L102" s="2"/>
      <c r="M102" s="2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2"/>
      <c r="L103" s="2"/>
      <c r="M103" s="2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2"/>
      <c r="L104" s="2"/>
      <c r="M104" s="2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2"/>
      <c r="L105" s="2"/>
      <c r="M105" s="2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2"/>
      <c r="L106" s="2"/>
      <c r="M106" s="2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2"/>
      <c r="L107" s="2"/>
      <c r="M107" s="2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2"/>
      <c r="L108" s="2"/>
      <c r="M108" s="2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2"/>
      <c r="L109" s="2"/>
      <c r="M109" s="2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2"/>
      <c r="L110" s="2"/>
      <c r="M110" s="2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2"/>
      <c r="L111" s="2"/>
      <c r="M111" s="2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2"/>
      <c r="L112" s="2"/>
      <c r="M112" s="2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2"/>
      <c r="L113" s="2"/>
      <c r="M113" s="2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2"/>
      <c r="L114" s="2"/>
      <c r="M114" s="2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2"/>
      <c r="L115" s="2"/>
      <c r="M115" s="2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2"/>
      <c r="L116" s="2"/>
      <c r="M116" s="2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2"/>
      <c r="L117" s="2"/>
      <c r="M117" s="2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2"/>
      <c r="L118" s="2"/>
      <c r="M118" s="2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2"/>
      <c r="L119" s="2"/>
      <c r="M119" s="2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2"/>
      <c r="L120" s="2"/>
      <c r="M120" s="2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K121">
    <cfRule type="expression" dxfId="24" priority="1">
      <formula>MOD(ROW(),2)=0</formula>
    </cfRule>
  </conditionalFormatting>
  <dataValidations count="1">
    <dataValidation type="list" sqref="H2:H121" xr:uid="{00000000-0002-0000-0200-000000000000}">
      <formula1>"Unverified,Pending Review,Verified"</formula1>
    </dataValidation>
  </dataValidations>
  <hyperlinks>
    <hyperlink ref="X1" location="'Cover'!A1" display="Cover" xr:uid="{00000000-0004-0000-0200-000000000000}"/>
    <hyperlink ref="Y1" location="'Index'!A1" display="Index" xr:uid="{00000000-0004-0000-0200-000001000000}"/>
    <hyperlink ref="Z1" location="'Executive Dashboard'!A1" display="Dashboard" xr:uid="{00000000-0004-0000-0200-000002000000}"/>
    <hyperlink ref="AA1" location="'Live KPI Overview'!A1" display="Analytics" xr:uid="{00000000-0004-0000-02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50"/>
  <sheetViews>
    <sheetView showGridLines="0" workbookViewId="0">
      <pane ySplit="1" topLeftCell="A104" activePane="bottomLeft" state="frozen"/>
      <selection pane="bottomLeft" sqref="A1:H121"/>
    </sheetView>
  </sheetViews>
  <sheetFormatPr defaultRowHeight="13.8"/>
  <cols>
    <col min="1" max="1" width="17.296875" customWidth="1"/>
    <col min="2" max="2" width="17" customWidth="1"/>
    <col min="3" max="3" width="34" customWidth="1"/>
    <col min="4" max="4" width="17" customWidth="1"/>
    <col min="5" max="5" width="22.09765625" customWidth="1"/>
    <col min="6" max="8" width="17" customWidth="1"/>
    <col min="9" max="21" width="19" customWidth="1"/>
    <col min="24" max="27" width="13" customWidth="1"/>
  </cols>
  <sheetData>
    <row r="1" spans="1:27" ht="34.950000000000003" customHeight="1">
      <c r="A1" s="29" t="s">
        <v>144</v>
      </c>
      <c r="B1" s="29" t="s">
        <v>90</v>
      </c>
      <c r="C1" s="29" t="s">
        <v>145</v>
      </c>
      <c r="D1" s="29" t="s">
        <v>146</v>
      </c>
      <c r="E1" s="29" t="s">
        <v>147</v>
      </c>
      <c r="F1" s="29" t="s">
        <v>99</v>
      </c>
      <c r="G1" s="29" t="s">
        <v>148</v>
      </c>
      <c r="H1" s="29" t="s">
        <v>149</v>
      </c>
      <c r="I1" s="4"/>
      <c r="J1" s="4"/>
      <c r="K1" s="4"/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/>
      <c r="B2" s="30"/>
      <c r="C2" s="30"/>
      <c r="D2" s="30"/>
      <c r="E2" s="30"/>
      <c r="F2" s="30"/>
      <c r="G2" s="30"/>
      <c r="H2" s="30"/>
      <c r="I2" s="7"/>
      <c r="J2" s="7"/>
      <c r="K2" s="7"/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/>
      <c r="B3" s="30"/>
      <c r="C3" s="30"/>
      <c r="D3" s="30"/>
      <c r="E3" s="30"/>
      <c r="F3" s="30"/>
      <c r="G3" s="30"/>
      <c r="H3" s="30"/>
      <c r="I3" s="2"/>
      <c r="J3" s="2"/>
      <c r="K3" s="2"/>
      <c r="L3" s="2"/>
      <c r="M3" s="2"/>
      <c r="N3" s="2"/>
      <c r="O3" s="2"/>
      <c r="P3" s="2"/>
    </row>
    <row r="4" spans="1:27" ht="22.95" customHeight="1">
      <c r="A4" s="30"/>
      <c r="B4" s="30"/>
      <c r="C4" s="30"/>
      <c r="D4" s="30"/>
      <c r="E4" s="30"/>
      <c r="F4" s="30"/>
      <c r="G4" s="30"/>
      <c r="H4" s="30"/>
      <c r="I4" s="2"/>
      <c r="J4" s="2"/>
      <c r="K4" s="2"/>
      <c r="L4" s="2"/>
      <c r="M4" s="2"/>
      <c r="N4" s="2"/>
      <c r="O4" s="2"/>
      <c r="P4" s="2"/>
    </row>
    <row r="5" spans="1:27" ht="22.95" customHeight="1">
      <c r="A5" s="30"/>
      <c r="B5" s="30"/>
      <c r="C5" s="30"/>
      <c r="D5" s="30"/>
      <c r="E5" s="30"/>
      <c r="F5" s="30"/>
      <c r="G5" s="30"/>
      <c r="H5" s="30"/>
      <c r="I5" s="2"/>
      <c r="J5" s="2"/>
      <c r="K5" s="2"/>
      <c r="L5" s="2"/>
      <c r="M5" s="2"/>
      <c r="N5" s="2"/>
      <c r="O5" s="2"/>
      <c r="P5" s="2"/>
    </row>
    <row r="6" spans="1:27" ht="22.95" customHeight="1">
      <c r="A6" s="30"/>
      <c r="B6" s="30"/>
      <c r="C6" s="30"/>
      <c r="D6" s="30"/>
      <c r="E6" s="30"/>
      <c r="F6" s="30"/>
      <c r="G6" s="30"/>
      <c r="H6" s="30"/>
      <c r="I6" s="2"/>
      <c r="J6" s="2"/>
      <c r="K6" s="2"/>
      <c r="L6" s="2"/>
      <c r="M6" s="2"/>
      <c r="N6" s="2"/>
      <c r="O6" s="2"/>
      <c r="P6" s="2"/>
    </row>
    <row r="7" spans="1:27" ht="22.95" customHeight="1">
      <c r="A7" s="30"/>
      <c r="B7" s="30"/>
      <c r="C7" s="30"/>
      <c r="D7" s="30"/>
      <c r="E7" s="30"/>
      <c r="F7" s="30"/>
      <c r="G7" s="30"/>
      <c r="H7" s="30"/>
      <c r="I7" s="2"/>
      <c r="J7" s="2"/>
      <c r="K7" s="2"/>
      <c r="L7" s="2"/>
      <c r="M7" s="2"/>
      <c r="N7" s="2"/>
      <c r="O7" s="2"/>
      <c r="P7" s="2"/>
    </row>
    <row r="8" spans="1:27" ht="22.95" customHeight="1">
      <c r="A8" s="30"/>
      <c r="B8" s="30"/>
      <c r="C8" s="30"/>
      <c r="D8" s="30"/>
      <c r="E8" s="30"/>
      <c r="F8" s="30"/>
      <c r="G8" s="30"/>
      <c r="H8" s="30"/>
      <c r="I8" s="2"/>
      <c r="J8" s="2"/>
      <c r="K8" s="2"/>
      <c r="L8" s="2"/>
      <c r="M8" s="2"/>
      <c r="N8" s="2"/>
      <c r="O8" s="2"/>
      <c r="P8" s="2"/>
    </row>
    <row r="9" spans="1:27" ht="22.95" customHeight="1">
      <c r="A9" s="30"/>
      <c r="B9" s="30"/>
      <c r="C9" s="30"/>
      <c r="D9" s="30"/>
      <c r="E9" s="30"/>
      <c r="F9" s="30"/>
      <c r="G9" s="30"/>
      <c r="H9" s="30"/>
      <c r="I9" s="2"/>
      <c r="J9" s="2"/>
      <c r="K9" s="2"/>
      <c r="L9" s="2"/>
      <c r="M9" s="2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0"/>
      <c r="G10" s="30"/>
      <c r="H10" s="30"/>
      <c r="I10" s="2"/>
      <c r="J10" s="2"/>
      <c r="K10" s="2"/>
      <c r="L10" s="2"/>
      <c r="M10" s="2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0"/>
      <c r="G11" s="30"/>
      <c r="H11" s="30"/>
      <c r="I11" s="2"/>
      <c r="J11" s="2"/>
      <c r="K11" s="2"/>
      <c r="L11" s="2"/>
      <c r="M11" s="2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0"/>
      <c r="G12" s="30"/>
      <c r="H12" s="30"/>
      <c r="I12" s="2"/>
      <c r="J12" s="2"/>
      <c r="K12" s="2"/>
      <c r="L12" s="2"/>
      <c r="M12" s="2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0"/>
      <c r="G13" s="30"/>
      <c r="H13" s="30"/>
      <c r="I13" s="2"/>
      <c r="J13" s="2"/>
      <c r="K13" s="2"/>
      <c r="L13" s="2"/>
      <c r="M13" s="2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0"/>
      <c r="G14" s="30"/>
      <c r="H14" s="30"/>
      <c r="I14" s="2"/>
      <c r="J14" s="2"/>
      <c r="K14" s="2"/>
      <c r="L14" s="2"/>
      <c r="M14" s="2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0"/>
      <c r="G15" s="30"/>
      <c r="H15" s="30"/>
      <c r="I15" s="2"/>
      <c r="J15" s="2"/>
      <c r="K15" s="2"/>
      <c r="L15" s="2"/>
      <c r="M15" s="2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0"/>
      <c r="G16" s="30"/>
      <c r="H16" s="30"/>
      <c r="I16" s="2"/>
      <c r="J16" s="2"/>
      <c r="K16" s="2"/>
      <c r="L16" s="2"/>
      <c r="M16" s="2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0"/>
      <c r="G17" s="30"/>
      <c r="H17" s="30"/>
      <c r="I17" s="2"/>
      <c r="J17" s="2"/>
      <c r="K17" s="2"/>
      <c r="L17" s="2"/>
      <c r="M17" s="2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0"/>
      <c r="G18" s="30"/>
      <c r="H18" s="30"/>
      <c r="I18" s="2"/>
      <c r="J18" s="2"/>
      <c r="K18" s="2"/>
      <c r="L18" s="2"/>
      <c r="M18" s="2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0"/>
      <c r="G19" s="30"/>
      <c r="H19" s="30"/>
      <c r="I19" s="2"/>
      <c r="J19" s="2"/>
      <c r="K19" s="2"/>
      <c r="L19" s="2"/>
      <c r="M19" s="2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0"/>
      <c r="G20" s="30"/>
      <c r="H20" s="30"/>
      <c r="I20" s="2"/>
      <c r="J20" s="2"/>
      <c r="K20" s="2"/>
      <c r="L20" s="2"/>
      <c r="M20" s="2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0"/>
      <c r="G21" s="30"/>
      <c r="H21" s="30"/>
      <c r="I21" s="2"/>
      <c r="J21" s="2"/>
      <c r="K21" s="2"/>
      <c r="L21" s="2"/>
      <c r="M21" s="2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0"/>
      <c r="G22" s="30"/>
      <c r="H22" s="30"/>
      <c r="I22" s="2"/>
      <c r="J22" s="2"/>
      <c r="K22" s="2"/>
      <c r="L22" s="2"/>
      <c r="M22" s="2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0"/>
      <c r="G23" s="30"/>
      <c r="H23" s="30"/>
      <c r="I23" s="2"/>
      <c r="J23" s="2"/>
      <c r="K23" s="2"/>
      <c r="L23" s="2"/>
      <c r="M23" s="2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0"/>
      <c r="G24" s="30"/>
      <c r="H24" s="30"/>
      <c r="I24" s="2"/>
      <c r="J24" s="2"/>
      <c r="K24" s="2"/>
      <c r="L24" s="2"/>
      <c r="M24" s="2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0"/>
      <c r="G25" s="30"/>
      <c r="H25" s="30"/>
      <c r="I25" s="2"/>
      <c r="J25" s="2"/>
      <c r="K25" s="2"/>
      <c r="L25" s="2"/>
      <c r="M25" s="2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0"/>
      <c r="G26" s="30"/>
      <c r="H26" s="30"/>
      <c r="I26" s="2"/>
      <c r="J26" s="2"/>
      <c r="K26" s="2"/>
      <c r="L26" s="2"/>
      <c r="M26" s="2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0"/>
      <c r="G27" s="30"/>
      <c r="H27" s="30"/>
      <c r="I27" s="2"/>
      <c r="J27" s="2"/>
      <c r="K27" s="2"/>
      <c r="L27" s="2"/>
      <c r="M27" s="2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0"/>
      <c r="G28" s="30"/>
      <c r="H28" s="30"/>
      <c r="I28" s="2"/>
      <c r="J28" s="2"/>
      <c r="K28" s="2"/>
      <c r="L28" s="2"/>
      <c r="M28" s="2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0"/>
      <c r="G29" s="30"/>
      <c r="H29" s="30"/>
      <c r="I29" s="2"/>
      <c r="J29" s="2"/>
      <c r="K29" s="2"/>
      <c r="L29" s="2"/>
      <c r="M29" s="2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0"/>
      <c r="G30" s="30"/>
      <c r="H30" s="30"/>
      <c r="I30" s="2"/>
      <c r="J30" s="2"/>
      <c r="K30" s="2"/>
      <c r="L30" s="2"/>
      <c r="M30" s="2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0"/>
      <c r="G31" s="30"/>
      <c r="H31" s="30"/>
      <c r="I31" s="2"/>
      <c r="J31" s="2"/>
      <c r="K31" s="2"/>
      <c r="L31" s="2"/>
      <c r="M31" s="2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0"/>
      <c r="G32" s="30"/>
      <c r="H32" s="30"/>
      <c r="I32" s="2"/>
      <c r="J32" s="2"/>
      <c r="K32" s="2"/>
      <c r="L32" s="2"/>
      <c r="M32" s="2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0"/>
      <c r="G33" s="30"/>
      <c r="H33" s="30"/>
      <c r="I33" s="2"/>
      <c r="J33" s="2"/>
      <c r="K33" s="2"/>
      <c r="L33" s="2"/>
      <c r="M33" s="2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0"/>
      <c r="G34" s="30"/>
      <c r="H34" s="30"/>
      <c r="I34" s="2"/>
      <c r="J34" s="2"/>
      <c r="K34" s="2"/>
      <c r="L34" s="2"/>
      <c r="M34" s="2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0"/>
      <c r="G35" s="30"/>
      <c r="H35" s="30"/>
      <c r="I35" s="2"/>
      <c r="J35" s="2"/>
      <c r="K35" s="2"/>
      <c r="L35" s="2"/>
      <c r="M35" s="2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0"/>
      <c r="G36" s="30"/>
      <c r="H36" s="30"/>
      <c r="I36" s="2"/>
      <c r="J36" s="2"/>
      <c r="K36" s="2"/>
      <c r="L36" s="2"/>
      <c r="M36" s="2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0"/>
      <c r="G37" s="30"/>
      <c r="H37" s="30"/>
      <c r="I37" s="2"/>
      <c r="J37" s="2"/>
      <c r="K37" s="2"/>
      <c r="L37" s="2"/>
      <c r="M37" s="2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0"/>
      <c r="G38" s="30"/>
      <c r="H38" s="30"/>
      <c r="I38" s="2"/>
      <c r="J38" s="2"/>
      <c r="K38" s="2"/>
      <c r="L38" s="2"/>
      <c r="M38" s="2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0"/>
      <c r="G39" s="30"/>
      <c r="H39" s="30"/>
      <c r="I39" s="2"/>
      <c r="J39" s="2"/>
      <c r="K39" s="2"/>
      <c r="L39" s="2"/>
      <c r="M39" s="2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0"/>
      <c r="G40" s="30"/>
      <c r="H40" s="30"/>
      <c r="I40" s="2"/>
      <c r="J40" s="2"/>
      <c r="K40" s="2"/>
      <c r="L40" s="2"/>
      <c r="M40" s="2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0"/>
      <c r="G41" s="30"/>
      <c r="H41" s="30"/>
      <c r="I41" s="2"/>
      <c r="J41" s="2"/>
      <c r="K41" s="2"/>
      <c r="L41" s="2"/>
      <c r="M41" s="2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0"/>
      <c r="G42" s="30"/>
      <c r="H42" s="30"/>
      <c r="I42" s="2"/>
      <c r="J42" s="2"/>
      <c r="K42" s="2"/>
      <c r="L42" s="2"/>
      <c r="M42" s="2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0"/>
      <c r="G43" s="30"/>
      <c r="H43" s="30"/>
      <c r="I43" s="2"/>
      <c r="J43" s="2"/>
      <c r="K43" s="2"/>
      <c r="L43" s="2"/>
      <c r="M43" s="2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0"/>
      <c r="G44" s="30"/>
      <c r="H44" s="30"/>
      <c r="I44" s="2"/>
      <c r="J44" s="2"/>
      <c r="K44" s="2"/>
      <c r="L44" s="2"/>
      <c r="M44" s="2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0"/>
      <c r="G45" s="30"/>
      <c r="H45" s="30"/>
      <c r="I45" s="2"/>
      <c r="J45" s="2"/>
      <c r="K45" s="2"/>
      <c r="L45" s="2"/>
      <c r="M45" s="2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0"/>
      <c r="G46" s="30"/>
      <c r="H46" s="30"/>
      <c r="I46" s="2"/>
      <c r="J46" s="2"/>
      <c r="K46" s="2"/>
      <c r="L46" s="2"/>
      <c r="M46" s="2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0"/>
      <c r="G47" s="30"/>
      <c r="H47" s="30"/>
      <c r="I47" s="2"/>
      <c r="J47" s="2"/>
      <c r="K47" s="2"/>
      <c r="L47" s="2"/>
      <c r="M47" s="2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0"/>
      <c r="G48" s="30"/>
      <c r="H48" s="30"/>
      <c r="I48" s="2"/>
      <c r="J48" s="2"/>
      <c r="K48" s="2"/>
      <c r="L48" s="2"/>
      <c r="M48" s="2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0"/>
      <c r="G49" s="30"/>
      <c r="H49" s="30"/>
      <c r="I49" s="2"/>
      <c r="J49" s="2"/>
      <c r="K49" s="2"/>
      <c r="L49" s="2"/>
      <c r="M49" s="2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0"/>
      <c r="G50" s="30"/>
      <c r="H50" s="30"/>
      <c r="I50" s="2"/>
      <c r="J50" s="2"/>
      <c r="K50" s="2"/>
      <c r="L50" s="2"/>
      <c r="M50" s="2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0"/>
      <c r="G51" s="30"/>
      <c r="H51" s="30"/>
      <c r="I51" s="2"/>
      <c r="J51" s="2"/>
      <c r="K51" s="2"/>
      <c r="L51" s="2"/>
      <c r="M51" s="2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0"/>
      <c r="G52" s="30"/>
      <c r="H52" s="30"/>
      <c r="I52" s="2"/>
      <c r="J52" s="2"/>
      <c r="K52" s="2"/>
      <c r="L52" s="2"/>
      <c r="M52" s="2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0"/>
      <c r="G53" s="30"/>
      <c r="H53" s="30"/>
      <c r="I53" s="2"/>
      <c r="J53" s="2"/>
      <c r="K53" s="2"/>
      <c r="L53" s="2"/>
      <c r="M53" s="2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0"/>
      <c r="G54" s="30"/>
      <c r="H54" s="30"/>
      <c r="I54" s="2"/>
      <c r="J54" s="2"/>
      <c r="K54" s="2"/>
      <c r="L54" s="2"/>
      <c r="M54" s="2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0"/>
      <c r="G55" s="30"/>
      <c r="H55" s="30"/>
      <c r="I55" s="2"/>
      <c r="J55" s="2"/>
      <c r="K55" s="2"/>
      <c r="L55" s="2"/>
      <c r="M55" s="2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0"/>
      <c r="G56" s="30"/>
      <c r="H56" s="30"/>
      <c r="I56" s="2"/>
      <c r="J56" s="2"/>
      <c r="K56" s="2"/>
      <c r="L56" s="2"/>
      <c r="M56" s="2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0"/>
      <c r="G57" s="30"/>
      <c r="H57" s="30"/>
      <c r="I57" s="2"/>
      <c r="J57" s="2"/>
      <c r="K57" s="2"/>
      <c r="L57" s="2"/>
      <c r="M57" s="2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0"/>
      <c r="G58" s="30"/>
      <c r="H58" s="30"/>
      <c r="I58" s="2"/>
      <c r="J58" s="2"/>
      <c r="K58" s="2"/>
      <c r="L58" s="2"/>
      <c r="M58" s="2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0"/>
      <c r="G59" s="30"/>
      <c r="H59" s="30"/>
      <c r="I59" s="2"/>
      <c r="J59" s="2"/>
      <c r="K59" s="2"/>
      <c r="L59" s="2"/>
      <c r="M59" s="2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0"/>
      <c r="G60" s="30"/>
      <c r="H60" s="30"/>
      <c r="I60" s="2"/>
      <c r="J60" s="2"/>
      <c r="K60" s="2"/>
      <c r="L60" s="2"/>
      <c r="M60" s="2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0"/>
      <c r="G61" s="30"/>
      <c r="H61" s="30"/>
      <c r="I61" s="2"/>
      <c r="J61" s="2"/>
      <c r="K61" s="2"/>
      <c r="L61" s="2"/>
      <c r="M61" s="2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0"/>
      <c r="G62" s="30"/>
      <c r="H62" s="30"/>
      <c r="I62" s="2"/>
      <c r="J62" s="2"/>
      <c r="K62" s="2"/>
      <c r="L62" s="2"/>
      <c r="M62" s="2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0"/>
      <c r="G63" s="30"/>
      <c r="H63" s="30"/>
      <c r="I63" s="2"/>
      <c r="J63" s="2"/>
      <c r="K63" s="2"/>
      <c r="L63" s="2"/>
      <c r="M63" s="2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0"/>
      <c r="G64" s="30"/>
      <c r="H64" s="30"/>
      <c r="I64" s="2"/>
      <c r="J64" s="2"/>
      <c r="K64" s="2"/>
      <c r="L64" s="2"/>
      <c r="M64" s="2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0"/>
      <c r="G65" s="30"/>
      <c r="H65" s="30"/>
      <c r="I65" s="2"/>
      <c r="J65" s="2"/>
      <c r="K65" s="2"/>
      <c r="L65" s="2"/>
      <c r="M65" s="2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0"/>
      <c r="G66" s="30"/>
      <c r="H66" s="30"/>
      <c r="I66" s="2"/>
      <c r="J66" s="2"/>
      <c r="K66" s="2"/>
      <c r="L66" s="2"/>
      <c r="M66" s="2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0"/>
      <c r="G67" s="30"/>
      <c r="H67" s="30"/>
      <c r="I67" s="2"/>
      <c r="J67" s="2"/>
      <c r="K67" s="2"/>
      <c r="L67" s="2"/>
      <c r="M67" s="2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0"/>
      <c r="G68" s="30"/>
      <c r="H68" s="30"/>
      <c r="I68" s="2"/>
      <c r="J68" s="2"/>
      <c r="K68" s="2"/>
      <c r="L68" s="2"/>
      <c r="M68" s="2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0"/>
      <c r="G69" s="30"/>
      <c r="H69" s="30"/>
      <c r="I69" s="2"/>
      <c r="J69" s="2"/>
      <c r="K69" s="2"/>
      <c r="L69" s="2"/>
      <c r="M69" s="2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0"/>
      <c r="G70" s="30"/>
      <c r="H70" s="30"/>
      <c r="I70" s="2"/>
      <c r="J70" s="2"/>
      <c r="K70" s="2"/>
      <c r="L70" s="2"/>
      <c r="M70" s="2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0"/>
      <c r="G71" s="30"/>
      <c r="H71" s="30"/>
      <c r="I71" s="2"/>
      <c r="J71" s="2"/>
      <c r="K71" s="2"/>
      <c r="L71" s="2"/>
      <c r="M71" s="2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0"/>
      <c r="G72" s="30"/>
      <c r="H72" s="30"/>
      <c r="I72" s="2"/>
      <c r="J72" s="2"/>
      <c r="K72" s="2"/>
      <c r="L72" s="2"/>
      <c r="M72" s="2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0"/>
      <c r="G73" s="30"/>
      <c r="H73" s="30"/>
      <c r="I73" s="2"/>
      <c r="J73" s="2"/>
      <c r="K73" s="2"/>
      <c r="L73" s="2"/>
      <c r="M73" s="2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0"/>
      <c r="G74" s="30"/>
      <c r="H74" s="30"/>
      <c r="I74" s="2"/>
      <c r="J74" s="2"/>
      <c r="K74" s="2"/>
      <c r="L74" s="2"/>
      <c r="M74" s="2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0"/>
      <c r="G75" s="30"/>
      <c r="H75" s="30"/>
      <c r="I75" s="2"/>
      <c r="J75" s="2"/>
      <c r="K75" s="2"/>
      <c r="L75" s="2"/>
      <c r="M75" s="2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0"/>
      <c r="G76" s="30"/>
      <c r="H76" s="30"/>
      <c r="I76" s="2"/>
      <c r="J76" s="2"/>
      <c r="K76" s="2"/>
      <c r="L76" s="2"/>
      <c r="M76" s="2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0"/>
      <c r="G77" s="30"/>
      <c r="H77" s="30"/>
      <c r="I77" s="2"/>
      <c r="J77" s="2"/>
      <c r="K77" s="2"/>
      <c r="L77" s="2"/>
      <c r="M77" s="2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0"/>
      <c r="G78" s="30"/>
      <c r="H78" s="30"/>
      <c r="I78" s="2"/>
      <c r="J78" s="2"/>
      <c r="K78" s="2"/>
      <c r="L78" s="2"/>
      <c r="M78" s="2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0"/>
      <c r="G79" s="30"/>
      <c r="H79" s="30"/>
      <c r="I79" s="2"/>
      <c r="J79" s="2"/>
      <c r="K79" s="2"/>
      <c r="L79" s="2"/>
      <c r="M79" s="2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0"/>
      <c r="G80" s="30"/>
      <c r="H80" s="30"/>
      <c r="I80" s="2"/>
      <c r="J80" s="2"/>
      <c r="K80" s="2"/>
      <c r="L80" s="2"/>
      <c r="M80" s="2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0"/>
      <c r="G81" s="30"/>
      <c r="H81" s="30"/>
      <c r="I81" s="2"/>
      <c r="J81" s="2"/>
      <c r="K81" s="2"/>
      <c r="L81" s="2"/>
      <c r="M81" s="2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0"/>
      <c r="G82" s="30"/>
      <c r="H82" s="30"/>
      <c r="I82" s="2"/>
      <c r="J82" s="2"/>
      <c r="K82" s="2"/>
      <c r="L82" s="2"/>
      <c r="M82" s="2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0"/>
      <c r="G83" s="30"/>
      <c r="H83" s="30"/>
      <c r="I83" s="2"/>
      <c r="J83" s="2"/>
      <c r="K83" s="2"/>
      <c r="L83" s="2"/>
      <c r="M83" s="2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0"/>
      <c r="G84" s="30"/>
      <c r="H84" s="30"/>
      <c r="I84" s="2"/>
      <c r="J84" s="2"/>
      <c r="K84" s="2"/>
      <c r="L84" s="2"/>
      <c r="M84" s="2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0"/>
      <c r="G85" s="30"/>
      <c r="H85" s="30"/>
      <c r="I85" s="2"/>
      <c r="J85" s="2"/>
      <c r="K85" s="2"/>
      <c r="L85" s="2"/>
      <c r="M85" s="2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0"/>
      <c r="G86" s="30"/>
      <c r="H86" s="30"/>
      <c r="I86" s="2"/>
      <c r="J86" s="2"/>
      <c r="K86" s="2"/>
      <c r="L86" s="2"/>
      <c r="M86" s="2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0"/>
      <c r="G87" s="30"/>
      <c r="H87" s="30"/>
      <c r="I87" s="2"/>
      <c r="J87" s="2"/>
      <c r="K87" s="2"/>
      <c r="L87" s="2"/>
      <c r="M87" s="2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0"/>
      <c r="G88" s="30"/>
      <c r="H88" s="30"/>
      <c r="I88" s="2"/>
      <c r="J88" s="2"/>
      <c r="K88" s="2"/>
      <c r="L88" s="2"/>
      <c r="M88" s="2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0"/>
      <c r="G89" s="30"/>
      <c r="H89" s="30"/>
      <c r="I89" s="2"/>
      <c r="J89" s="2"/>
      <c r="K89" s="2"/>
      <c r="L89" s="2"/>
      <c r="M89" s="2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0"/>
      <c r="G90" s="30"/>
      <c r="H90" s="30"/>
      <c r="I90" s="2"/>
      <c r="J90" s="2"/>
      <c r="K90" s="2"/>
      <c r="L90" s="2"/>
      <c r="M90" s="2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0"/>
      <c r="G91" s="30"/>
      <c r="H91" s="30"/>
      <c r="I91" s="2"/>
      <c r="J91" s="2"/>
      <c r="K91" s="2"/>
      <c r="L91" s="2"/>
      <c r="M91" s="2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0"/>
      <c r="G92" s="30"/>
      <c r="H92" s="30"/>
      <c r="I92" s="2"/>
      <c r="J92" s="2"/>
      <c r="K92" s="2"/>
      <c r="L92" s="2"/>
      <c r="M92" s="2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0"/>
      <c r="G93" s="30"/>
      <c r="H93" s="30"/>
      <c r="I93" s="2"/>
      <c r="J93" s="2"/>
      <c r="K93" s="2"/>
      <c r="L93" s="2"/>
      <c r="M93" s="2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0"/>
      <c r="G94" s="30"/>
      <c r="H94" s="30"/>
      <c r="I94" s="2"/>
      <c r="J94" s="2"/>
      <c r="K94" s="2"/>
      <c r="L94" s="2"/>
      <c r="M94" s="2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0"/>
      <c r="G95" s="30"/>
      <c r="H95" s="30"/>
      <c r="I95" s="2"/>
      <c r="J95" s="2"/>
      <c r="K95" s="2"/>
      <c r="L95" s="2"/>
      <c r="M95" s="2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0"/>
      <c r="G96" s="30"/>
      <c r="H96" s="30"/>
      <c r="I96" s="2"/>
      <c r="J96" s="2"/>
      <c r="K96" s="2"/>
      <c r="L96" s="2"/>
      <c r="M96" s="2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0"/>
      <c r="G97" s="30"/>
      <c r="H97" s="30"/>
      <c r="I97" s="2"/>
      <c r="J97" s="2"/>
      <c r="K97" s="2"/>
      <c r="L97" s="2"/>
      <c r="M97" s="2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0"/>
      <c r="G98" s="30"/>
      <c r="H98" s="30"/>
      <c r="I98" s="2"/>
      <c r="J98" s="2"/>
      <c r="K98" s="2"/>
      <c r="L98" s="2"/>
      <c r="M98" s="2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0"/>
      <c r="G99" s="30"/>
      <c r="H99" s="30"/>
      <c r="I99" s="2"/>
      <c r="J99" s="2"/>
      <c r="K99" s="2"/>
      <c r="L99" s="2"/>
      <c r="M99" s="2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0"/>
      <c r="G100" s="30"/>
      <c r="H100" s="30"/>
      <c r="I100" s="2"/>
      <c r="J100" s="2"/>
      <c r="K100" s="2"/>
      <c r="L100" s="2"/>
      <c r="M100" s="2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0"/>
      <c r="G101" s="30"/>
      <c r="H101" s="30"/>
      <c r="I101" s="2"/>
      <c r="J101" s="2"/>
      <c r="K101" s="2"/>
      <c r="L101" s="2"/>
      <c r="M101" s="2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0"/>
      <c r="G102" s="30"/>
      <c r="H102" s="30"/>
      <c r="I102" s="2"/>
      <c r="J102" s="2"/>
      <c r="K102" s="2"/>
      <c r="L102" s="2"/>
      <c r="M102" s="2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0"/>
      <c r="G103" s="30"/>
      <c r="H103" s="30"/>
      <c r="I103" s="2"/>
      <c r="J103" s="2"/>
      <c r="K103" s="2"/>
      <c r="L103" s="2"/>
      <c r="M103" s="2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0"/>
      <c r="G104" s="30"/>
      <c r="H104" s="30"/>
      <c r="I104" s="2"/>
      <c r="J104" s="2"/>
      <c r="K104" s="2"/>
      <c r="L104" s="2"/>
      <c r="M104" s="2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0"/>
      <c r="G105" s="30"/>
      <c r="H105" s="30"/>
      <c r="I105" s="2"/>
      <c r="J105" s="2"/>
      <c r="K105" s="2"/>
      <c r="L105" s="2"/>
      <c r="M105" s="2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0"/>
      <c r="G106" s="30"/>
      <c r="H106" s="30"/>
      <c r="I106" s="2"/>
      <c r="J106" s="2"/>
      <c r="K106" s="2"/>
      <c r="L106" s="2"/>
      <c r="M106" s="2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0"/>
      <c r="G107" s="30"/>
      <c r="H107" s="30"/>
      <c r="I107" s="2"/>
      <c r="J107" s="2"/>
      <c r="K107" s="2"/>
      <c r="L107" s="2"/>
      <c r="M107" s="2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0"/>
      <c r="G108" s="30"/>
      <c r="H108" s="30"/>
      <c r="I108" s="2"/>
      <c r="J108" s="2"/>
      <c r="K108" s="2"/>
      <c r="L108" s="2"/>
      <c r="M108" s="2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0"/>
      <c r="G109" s="30"/>
      <c r="H109" s="30"/>
      <c r="I109" s="2"/>
      <c r="J109" s="2"/>
      <c r="K109" s="2"/>
      <c r="L109" s="2"/>
      <c r="M109" s="2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0"/>
      <c r="G110" s="30"/>
      <c r="H110" s="30"/>
      <c r="I110" s="2"/>
      <c r="J110" s="2"/>
      <c r="K110" s="2"/>
      <c r="L110" s="2"/>
      <c r="M110" s="2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0"/>
      <c r="G111" s="30"/>
      <c r="H111" s="30"/>
      <c r="I111" s="2"/>
      <c r="J111" s="2"/>
      <c r="K111" s="2"/>
      <c r="L111" s="2"/>
      <c r="M111" s="2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0"/>
      <c r="G112" s="30"/>
      <c r="H112" s="30"/>
      <c r="I112" s="2"/>
      <c r="J112" s="2"/>
      <c r="K112" s="2"/>
      <c r="L112" s="2"/>
      <c r="M112" s="2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0"/>
      <c r="G113" s="30"/>
      <c r="H113" s="30"/>
      <c r="I113" s="2"/>
      <c r="J113" s="2"/>
      <c r="K113" s="2"/>
      <c r="L113" s="2"/>
      <c r="M113" s="2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0"/>
      <c r="G114" s="30"/>
      <c r="H114" s="30"/>
      <c r="I114" s="2"/>
      <c r="J114" s="2"/>
      <c r="K114" s="2"/>
      <c r="L114" s="2"/>
      <c r="M114" s="2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0"/>
      <c r="G115" s="30"/>
      <c r="H115" s="30"/>
      <c r="I115" s="2"/>
      <c r="J115" s="2"/>
      <c r="K115" s="2"/>
      <c r="L115" s="2"/>
      <c r="M115" s="2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0"/>
      <c r="G116" s="30"/>
      <c r="H116" s="30"/>
      <c r="I116" s="2"/>
      <c r="J116" s="2"/>
      <c r="K116" s="2"/>
      <c r="L116" s="2"/>
      <c r="M116" s="2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0"/>
      <c r="G117" s="30"/>
      <c r="H117" s="30"/>
      <c r="I117" s="2"/>
      <c r="J117" s="2"/>
      <c r="K117" s="2"/>
      <c r="L117" s="2"/>
      <c r="M117" s="2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0"/>
      <c r="G118" s="30"/>
      <c r="H118" s="30"/>
      <c r="I118" s="2"/>
      <c r="J118" s="2"/>
      <c r="K118" s="2"/>
      <c r="L118" s="2"/>
      <c r="M118" s="2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0"/>
      <c r="G119" s="30"/>
      <c r="H119" s="30"/>
      <c r="I119" s="2"/>
      <c r="J119" s="2"/>
      <c r="K119" s="2"/>
      <c r="L119" s="2"/>
      <c r="M119" s="2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0"/>
      <c r="G120" s="30"/>
      <c r="H120" s="30"/>
      <c r="I120" s="2"/>
      <c r="J120" s="2"/>
      <c r="K120" s="2"/>
      <c r="L120" s="2"/>
      <c r="M120" s="2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0"/>
      <c r="G121" s="30"/>
      <c r="H121" s="30"/>
      <c r="I121" s="2"/>
      <c r="J121" s="2"/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H121">
    <cfRule type="expression" dxfId="23" priority="1">
      <formula>MOD(ROW(),2)=0</formula>
    </cfRule>
  </conditionalFormatting>
  <dataValidations count="1">
    <dataValidation type="list" sqref="D2:D121" xr:uid="{00000000-0002-0000-0300-000000000000}">
      <formula1>"Yes,No,Pending"</formula1>
    </dataValidation>
  </dataValidations>
  <hyperlinks>
    <hyperlink ref="X1" location="'Cover'!A1" display="Cover" xr:uid="{00000000-0004-0000-0300-000000000000}"/>
    <hyperlink ref="Y1" location="'Index'!A1" display="Index" xr:uid="{00000000-0004-0000-0300-000001000000}"/>
    <hyperlink ref="Z1" location="'Executive Dashboard'!A1" display="Dashboard" xr:uid="{00000000-0004-0000-0300-000002000000}"/>
    <hyperlink ref="AA1" location="'Live KPI Overview'!A1" display="Analytics" xr:uid="{00000000-0004-0000-03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50"/>
  <sheetViews>
    <sheetView showGridLines="0" topLeftCell="B1" workbookViewId="0">
      <pane ySplit="1" topLeftCell="A17" activePane="bottomLeft" state="frozen"/>
      <selection pane="bottomLeft" sqref="A1:J121"/>
    </sheetView>
  </sheetViews>
  <sheetFormatPr defaultRowHeight="13.8"/>
  <cols>
    <col min="1" max="2" width="17" customWidth="1"/>
    <col min="3" max="3" width="22.09765625" customWidth="1"/>
    <col min="4" max="4" width="17.296875" customWidth="1"/>
    <col min="5" max="6" width="17" customWidth="1"/>
    <col min="7" max="7" width="17.296875" customWidth="1"/>
    <col min="8" max="8" width="24.8984375" customWidth="1"/>
    <col min="9" max="9" width="24" customWidth="1"/>
    <col min="10" max="10" width="21.09765625" customWidth="1"/>
    <col min="11" max="21" width="19" customWidth="1"/>
    <col min="24" max="27" width="13" customWidth="1"/>
  </cols>
  <sheetData>
    <row r="1" spans="1:27" ht="34.950000000000003" customHeight="1">
      <c r="A1" s="29" t="s">
        <v>150</v>
      </c>
      <c r="B1" s="29" t="s">
        <v>90</v>
      </c>
      <c r="C1" s="29" t="s">
        <v>151</v>
      </c>
      <c r="D1" s="29" t="s">
        <v>152</v>
      </c>
      <c r="E1" s="29" t="s">
        <v>153</v>
      </c>
      <c r="F1" s="29" t="s">
        <v>99</v>
      </c>
      <c r="G1" s="29" t="s">
        <v>96</v>
      </c>
      <c r="H1" s="29" t="s">
        <v>154</v>
      </c>
      <c r="I1" s="29" t="s">
        <v>155</v>
      </c>
      <c r="J1" s="29" t="s">
        <v>156</v>
      </c>
      <c r="K1" s="4"/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7"/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2"/>
      <c r="L3" s="2"/>
      <c r="M3" s="2"/>
      <c r="N3" s="2"/>
      <c r="O3" s="2"/>
      <c r="P3" s="2"/>
    </row>
    <row r="4" spans="1:27" ht="22.9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2"/>
      <c r="L4" s="2"/>
      <c r="M4" s="2"/>
      <c r="N4" s="2"/>
      <c r="O4" s="2"/>
      <c r="P4" s="2"/>
    </row>
    <row r="5" spans="1:27" ht="22.9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2"/>
      <c r="L5" s="2"/>
      <c r="M5" s="2"/>
      <c r="N5" s="2"/>
      <c r="O5" s="2"/>
      <c r="P5" s="2"/>
    </row>
    <row r="6" spans="1:27" ht="22.9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2"/>
      <c r="L6" s="2"/>
      <c r="M6" s="2"/>
      <c r="N6" s="2"/>
      <c r="O6" s="2"/>
      <c r="P6" s="2"/>
    </row>
    <row r="7" spans="1:27" ht="22.9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2"/>
      <c r="L7" s="2"/>
      <c r="M7" s="2"/>
      <c r="N7" s="2"/>
      <c r="O7" s="2"/>
      <c r="P7" s="2"/>
    </row>
    <row r="8" spans="1:27" ht="22.9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2"/>
      <c r="L8" s="2"/>
      <c r="M8" s="2"/>
      <c r="N8" s="2"/>
      <c r="O8" s="2"/>
      <c r="P8" s="2"/>
    </row>
    <row r="9" spans="1:27" ht="22.95" customHeight="1">
      <c r="A9" s="30"/>
      <c r="B9" s="30"/>
      <c r="C9" s="30"/>
      <c r="D9" s="30"/>
      <c r="E9" s="30"/>
      <c r="F9" s="30"/>
      <c r="G9" s="30"/>
      <c r="H9" s="30"/>
      <c r="I9" s="30"/>
      <c r="J9" s="30"/>
      <c r="K9" s="2"/>
      <c r="L9" s="2"/>
      <c r="M9" s="2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2"/>
      <c r="L10" s="2"/>
      <c r="M10" s="2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2"/>
      <c r="L11" s="2"/>
      <c r="M11" s="2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2"/>
      <c r="L12" s="2"/>
      <c r="M12" s="2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2"/>
      <c r="L13" s="2"/>
      <c r="M13" s="2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2"/>
      <c r="L14" s="2"/>
      <c r="M14" s="2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2"/>
      <c r="L15" s="2"/>
      <c r="M15" s="2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2"/>
      <c r="L16" s="2"/>
      <c r="M16" s="2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2"/>
      <c r="L17" s="2"/>
      <c r="M17" s="2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2"/>
      <c r="L18" s="2"/>
      <c r="M18" s="2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2"/>
      <c r="L19" s="2"/>
      <c r="M19" s="2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2"/>
      <c r="L20" s="2"/>
      <c r="M20" s="2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2"/>
      <c r="L21" s="2"/>
      <c r="M21" s="2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2"/>
      <c r="L22" s="2"/>
      <c r="M22" s="2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2"/>
      <c r="L23" s="2"/>
      <c r="M23" s="2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2"/>
      <c r="L24" s="2"/>
      <c r="M24" s="2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2"/>
      <c r="L25" s="2"/>
      <c r="M25" s="2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2"/>
      <c r="L26" s="2"/>
      <c r="M26" s="2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2"/>
      <c r="L27" s="2"/>
      <c r="M27" s="2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2"/>
      <c r="L28" s="2"/>
      <c r="M28" s="2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2"/>
      <c r="L29" s="2"/>
      <c r="M29" s="2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2"/>
      <c r="L30" s="2"/>
      <c r="M30" s="2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2"/>
      <c r="L31" s="2"/>
      <c r="M31" s="2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2"/>
      <c r="L32" s="2"/>
      <c r="M32" s="2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2"/>
      <c r="L33" s="2"/>
      <c r="M33" s="2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2"/>
      <c r="L34" s="2"/>
      <c r="M34" s="2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2"/>
      <c r="L35" s="2"/>
      <c r="M35" s="2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2"/>
      <c r="L36" s="2"/>
      <c r="M36" s="2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2"/>
      <c r="L37" s="2"/>
      <c r="M37" s="2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2"/>
      <c r="L38" s="2"/>
      <c r="M38" s="2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2"/>
      <c r="L39" s="2"/>
      <c r="M39" s="2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2"/>
      <c r="L40" s="2"/>
      <c r="M40" s="2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2"/>
      <c r="L41" s="2"/>
      <c r="M41" s="2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2"/>
      <c r="L42" s="2"/>
      <c r="M42" s="2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2"/>
      <c r="L43" s="2"/>
      <c r="M43" s="2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2"/>
      <c r="L44" s="2"/>
      <c r="M44" s="2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2"/>
      <c r="L45" s="2"/>
      <c r="M45" s="2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2"/>
      <c r="L46" s="2"/>
      <c r="M46" s="2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2"/>
      <c r="L47" s="2"/>
      <c r="M47" s="2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2"/>
      <c r="L48" s="2"/>
      <c r="M48" s="2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2"/>
      <c r="L49" s="2"/>
      <c r="M49" s="2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2"/>
      <c r="L50" s="2"/>
      <c r="M50" s="2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2"/>
      <c r="L51" s="2"/>
      <c r="M51" s="2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2"/>
      <c r="L52" s="2"/>
      <c r="M52" s="2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2"/>
      <c r="L53" s="2"/>
      <c r="M53" s="2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2"/>
      <c r="L54" s="2"/>
      <c r="M54" s="2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2"/>
      <c r="L55" s="2"/>
      <c r="M55" s="2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2"/>
      <c r="L56" s="2"/>
      <c r="M56" s="2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2"/>
      <c r="L57" s="2"/>
      <c r="M57" s="2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2"/>
      <c r="L58" s="2"/>
      <c r="M58" s="2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2"/>
      <c r="L59" s="2"/>
      <c r="M59" s="2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2"/>
      <c r="L60" s="2"/>
      <c r="M60" s="2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2"/>
      <c r="L61" s="2"/>
      <c r="M61" s="2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2"/>
      <c r="L62" s="2"/>
      <c r="M62" s="2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2"/>
      <c r="L63" s="2"/>
      <c r="M63" s="2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2"/>
      <c r="L64" s="2"/>
      <c r="M64" s="2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2"/>
      <c r="L65" s="2"/>
      <c r="M65" s="2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2"/>
      <c r="L66" s="2"/>
      <c r="M66" s="2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2"/>
      <c r="L67" s="2"/>
      <c r="M67" s="2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2"/>
      <c r="L68" s="2"/>
      <c r="M68" s="2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2"/>
      <c r="L69" s="2"/>
      <c r="M69" s="2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2"/>
      <c r="L70" s="2"/>
      <c r="M70" s="2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2"/>
      <c r="L71" s="2"/>
      <c r="M71" s="2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2"/>
      <c r="L72" s="2"/>
      <c r="M72" s="2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2"/>
      <c r="L73" s="2"/>
      <c r="M73" s="2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2"/>
      <c r="L74" s="2"/>
      <c r="M74" s="2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2"/>
      <c r="L75" s="2"/>
      <c r="M75" s="2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2"/>
      <c r="L76" s="2"/>
      <c r="M76" s="2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2"/>
      <c r="L77" s="2"/>
      <c r="M77" s="2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2"/>
      <c r="L78" s="2"/>
      <c r="M78" s="2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2"/>
      <c r="L79" s="2"/>
      <c r="M79" s="2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2"/>
      <c r="L80" s="2"/>
      <c r="M80" s="2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2"/>
      <c r="L81" s="2"/>
      <c r="M81" s="2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2"/>
      <c r="L82" s="2"/>
      <c r="M82" s="2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2"/>
      <c r="L83" s="2"/>
      <c r="M83" s="2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2"/>
      <c r="L84" s="2"/>
      <c r="M84" s="2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2"/>
      <c r="L85" s="2"/>
      <c r="M85" s="2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2"/>
      <c r="L86" s="2"/>
      <c r="M86" s="2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2"/>
      <c r="L87" s="2"/>
      <c r="M87" s="2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2"/>
      <c r="L88" s="2"/>
      <c r="M88" s="2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2"/>
      <c r="L89" s="2"/>
      <c r="M89" s="2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2"/>
      <c r="L90" s="2"/>
      <c r="M90" s="2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2"/>
      <c r="L91" s="2"/>
      <c r="M91" s="2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2"/>
      <c r="L92" s="2"/>
      <c r="M92" s="2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2"/>
      <c r="L93" s="2"/>
      <c r="M93" s="2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2"/>
      <c r="L94" s="2"/>
      <c r="M94" s="2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2"/>
      <c r="L95" s="2"/>
      <c r="M95" s="2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2"/>
      <c r="L96" s="2"/>
      <c r="M96" s="2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2"/>
      <c r="L97" s="2"/>
      <c r="M97" s="2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2"/>
      <c r="L98" s="2"/>
      <c r="M98" s="2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2"/>
      <c r="L99" s="2"/>
      <c r="M99" s="2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2"/>
      <c r="L100" s="2"/>
      <c r="M100" s="2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2"/>
      <c r="L101" s="2"/>
      <c r="M101" s="2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2"/>
      <c r="L102" s="2"/>
      <c r="M102" s="2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2"/>
      <c r="L103" s="2"/>
      <c r="M103" s="2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2"/>
      <c r="L104" s="2"/>
      <c r="M104" s="2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2"/>
      <c r="L105" s="2"/>
      <c r="M105" s="2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2"/>
      <c r="L106" s="2"/>
      <c r="M106" s="2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2"/>
      <c r="L107" s="2"/>
      <c r="M107" s="2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2"/>
      <c r="L108" s="2"/>
      <c r="M108" s="2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2"/>
      <c r="L109" s="2"/>
      <c r="M109" s="2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2"/>
      <c r="L110" s="2"/>
      <c r="M110" s="2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2"/>
      <c r="L111" s="2"/>
      <c r="M111" s="2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2"/>
      <c r="L112" s="2"/>
      <c r="M112" s="2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2"/>
      <c r="L113" s="2"/>
      <c r="M113" s="2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2"/>
      <c r="L114" s="2"/>
      <c r="M114" s="2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2"/>
      <c r="L115" s="2"/>
      <c r="M115" s="2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2"/>
      <c r="L116" s="2"/>
      <c r="M116" s="2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2"/>
      <c r="L117" s="2"/>
      <c r="M117" s="2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2"/>
      <c r="L118" s="2"/>
      <c r="M118" s="2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2"/>
      <c r="L119" s="2"/>
      <c r="M119" s="2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2"/>
      <c r="L120" s="2"/>
      <c r="M120" s="2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J121">
    <cfRule type="expression" dxfId="22" priority="1">
      <formula>MOD(ROW(),2)=0</formula>
    </cfRule>
  </conditionalFormatting>
  <dataValidations count="1">
    <dataValidation type="list" sqref="G2:G121" xr:uid="{00000000-0002-0000-0400-000000000000}">
      <formula1>"Applicable,Not Applicable,Pending Review"</formula1>
    </dataValidation>
  </dataValidations>
  <hyperlinks>
    <hyperlink ref="X1" location="'Cover'!A1" display="Cover" xr:uid="{00000000-0004-0000-0400-000000000000}"/>
    <hyperlink ref="Y1" location="'Index'!A1" display="Index" xr:uid="{00000000-0004-0000-0400-000001000000}"/>
    <hyperlink ref="Z1" location="'Executive Dashboard'!A1" display="Dashboard" xr:uid="{00000000-0004-0000-0400-000002000000}"/>
    <hyperlink ref="AA1" location="'Live KPI Overview'!A1" display="Analytics" xr:uid="{00000000-0004-0000-04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50"/>
  <sheetViews>
    <sheetView showGridLines="0" topLeftCell="V1" workbookViewId="0">
      <pane ySplit="1" topLeftCell="A2" activePane="bottomLeft" state="frozen"/>
      <selection pane="bottomLeft" sqref="A1:H121"/>
    </sheetView>
  </sheetViews>
  <sheetFormatPr defaultRowHeight="13.8"/>
  <cols>
    <col min="1" max="1" width="17.296875" customWidth="1"/>
    <col min="2" max="6" width="17" customWidth="1"/>
    <col min="7" max="7" width="19.19921875" customWidth="1"/>
    <col min="8" max="8" width="17" customWidth="1"/>
    <col min="9" max="21" width="19" customWidth="1"/>
    <col min="24" max="27" width="13" customWidth="1"/>
  </cols>
  <sheetData>
    <row r="1" spans="1:27" ht="34.950000000000003" customHeight="1">
      <c r="A1" s="29" t="s">
        <v>157</v>
      </c>
      <c r="B1" s="29" t="s">
        <v>150</v>
      </c>
      <c r="C1" s="29" t="s">
        <v>158</v>
      </c>
      <c r="D1" s="29" t="s">
        <v>159</v>
      </c>
      <c r="E1" s="29" t="s">
        <v>160</v>
      </c>
      <c r="F1" s="29" t="s">
        <v>161</v>
      </c>
      <c r="G1" s="29" t="s">
        <v>162</v>
      </c>
      <c r="H1" s="29" t="s">
        <v>163</v>
      </c>
      <c r="I1" s="4"/>
      <c r="J1" s="4"/>
      <c r="K1" s="4"/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/>
      <c r="B2" s="30"/>
      <c r="C2" s="30"/>
      <c r="D2" s="30"/>
      <c r="E2" s="30"/>
      <c r="F2" s="30"/>
      <c r="G2" s="30"/>
      <c r="H2" s="30"/>
      <c r="I2" s="7"/>
      <c r="J2" s="7"/>
      <c r="K2" s="7"/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/>
      <c r="B3" s="30"/>
      <c r="C3" s="30"/>
      <c r="D3" s="30"/>
      <c r="E3" s="30"/>
      <c r="F3" s="30"/>
      <c r="G3" s="30"/>
      <c r="H3" s="30"/>
      <c r="I3" s="2"/>
      <c r="J3" s="2"/>
      <c r="K3" s="2"/>
      <c r="L3" s="2"/>
      <c r="M3" s="2"/>
      <c r="N3" s="2"/>
      <c r="O3" s="2"/>
      <c r="P3" s="2"/>
    </row>
    <row r="4" spans="1:27" ht="22.95" customHeight="1">
      <c r="A4" s="30"/>
      <c r="B4" s="30"/>
      <c r="C4" s="30"/>
      <c r="D4" s="30"/>
      <c r="E4" s="30"/>
      <c r="F4" s="30"/>
      <c r="G4" s="30"/>
      <c r="H4" s="30"/>
      <c r="I4" s="2"/>
      <c r="J4" s="2"/>
      <c r="K4" s="2"/>
      <c r="L4" s="2"/>
      <c r="M4" s="2"/>
      <c r="N4" s="2"/>
      <c r="O4" s="2"/>
      <c r="P4" s="2"/>
    </row>
    <row r="5" spans="1:27" ht="22.95" customHeight="1">
      <c r="A5" s="30"/>
      <c r="B5" s="30"/>
      <c r="C5" s="30"/>
      <c r="D5" s="30"/>
      <c r="E5" s="30"/>
      <c r="F5" s="30"/>
      <c r="G5" s="30"/>
      <c r="H5" s="30"/>
      <c r="I5" s="2"/>
      <c r="J5" s="2"/>
      <c r="K5" s="2"/>
      <c r="L5" s="2"/>
      <c r="M5" s="2"/>
      <c r="N5" s="2"/>
      <c r="O5" s="2"/>
      <c r="P5" s="2"/>
    </row>
    <row r="6" spans="1:27" ht="22.95" customHeight="1">
      <c r="A6" s="30"/>
      <c r="B6" s="30"/>
      <c r="C6" s="30"/>
      <c r="D6" s="30"/>
      <c r="E6" s="30"/>
      <c r="F6" s="30"/>
      <c r="G6" s="30"/>
      <c r="H6" s="30"/>
      <c r="I6" s="2"/>
      <c r="J6" s="2"/>
      <c r="K6" s="2"/>
      <c r="L6" s="2"/>
      <c r="M6" s="2"/>
      <c r="N6" s="2"/>
      <c r="O6" s="2"/>
      <c r="P6" s="2"/>
    </row>
    <row r="7" spans="1:27" ht="22.95" customHeight="1">
      <c r="A7" s="30"/>
      <c r="B7" s="30"/>
      <c r="C7" s="30"/>
      <c r="D7" s="30"/>
      <c r="E7" s="30"/>
      <c r="F7" s="30"/>
      <c r="G7" s="30"/>
      <c r="H7" s="30"/>
      <c r="I7" s="2"/>
      <c r="J7" s="2"/>
      <c r="K7" s="2"/>
      <c r="L7" s="2"/>
      <c r="M7" s="2"/>
      <c r="N7" s="2"/>
      <c r="O7" s="2"/>
      <c r="P7" s="2"/>
    </row>
    <row r="8" spans="1:27" ht="22.95" customHeight="1">
      <c r="A8" s="30"/>
      <c r="B8" s="30"/>
      <c r="C8" s="30"/>
      <c r="D8" s="30"/>
      <c r="E8" s="30"/>
      <c r="F8" s="30"/>
      <c r="G8" s="30"/>
      <c r="H8" s="30"/>
      <c r="I8" s="2"/>
      <c r="J8" s="2"/>
      <c r="K8" s="2"/>
      <c r="L8" s="2"/>
      <c r="M8" s="2"/>
      <c r="N8" s="2"/>
      <c r="O8" s="2"/>
      <c r="P8" s="2"/>
    </row>
    <row r="9" spans="1:27" ht="22.95" customHeight="1">
      <c r="A9" s="30"/>
      <c r="B9" s="30"/>
      <c r="C9" s="30"/>
      <c r="D9" s="30"/>
      <c r="E9" s="30"/>
      <c r="F9" s="30"/>
      <c r="G9" s="30"/>
      <c r="H9" s="30"/>
      <c r="I9" s="2"/>
      <c r="J9" s="2"/>
      <c r="K9" s="2"/>
      <c r="L9" s="2"/>
      <c r="M9" s="2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0"/>
      <c r="G10" s="30"/>
      <c r="H10" s="30"/>
      <c r="I10" s="2"/>
      <c r="J10" s="2"/>
      <c r="K10" s="2"/>
      <c r="L10" s="2"/>
      <c r="M10" s="2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0"/>
      <c r="G11" s="30"/>
      <c r="H11" s="30"/>
      <c r="I11" s="2"/>
      <c r="J11" s="2"/>
      <c r="K11" s="2"/>
      <c r="L11" s="2"/>
      <c r="M11" s="2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0"/>
      <c r="G12" s="30"/>
      <c r="H12" s="30"/>
      <c r="I12" s="2"/>
      <c r="J12" s="2"/>
      <c r="K12" s="2"/>
      <c r="L12" s="2"/>
      <c r="M12" s="2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0"/>
      <c r="G13" s="30"/>
      <c r="H13" s="30"/>
      <c r="I13" s="2"/>
      <c r="J13" s="2"/>
      <c r="K13" s="2"/>
      <c r="L13" s="2"/>
      <c r="M13" s="2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0"/>
      <c r="G14" s="30"/>
      <c r="H14" s="30"/>
      <c r="I14" s="2"/>
      <c r="J14" s="2"/>
      <c r="K14" s="2"/>
      <c r="L14" s="2"/>
      <c r="M14" s="2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0"/>
      <c r="G15" s="30"/>
      <c r="H15" s="30"/>
      <c r="I15" s="2"/>
      <c r="J15" s="2"/>
      <c r="K15" s="2"/>
      <c r="L15" s="2"/>
      <c r="M15" s="2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0"/>
      <c r="G16" s="30"/>
      <c r="H16" s="30"/>
      <c r="I16" s="2"/>
      <c r="J16" s="2"/>
      <c r="K16" s="2"/>
      <c r="L16" s="2"/>
      <c r="M16" s="2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0"/>
      <c r="G17" s="30"/>
      <c r="H17" s="30"/>
      <c r="I17" s="2"/>
      <c r="J17" s="2"/>
      <c r="K17" s="2"/>
      <c r="L17" s="2"/>
      <c r="M17" s="2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0"/>
      <c r="G18" s="30"/>
      <c r="H18" s="30"/>
      <c r="I18" s="2"/>
      <c r="J18" s="2"/>
      <c r="K18" s="2"/>
      <c r="L18" s="2"/>
      <c r="M18" s="2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0"/>
      <c r="G19" s="30"/>
      <c r="H19" s="30"/>
      <c r="I19" s="2"/>
      <c r="J19" s="2"/>
      <c r="K19" s="2"/>
      <c r="L19" s="2"/>
      <c r="M19" s="2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0"/>
      <c r="G20" s="30"/>
      <c r="H20" s="30"/>
      <c r="I20" s="2"/>
      <c r="J20" s="2"/>
      <c r="K20" s="2"/>
      <c r="L20" s="2"/>
      <c r="M20" s="2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0"/>
      <c r="G21" s="30"/>
      <c r="H21" s="30"/>
      <c r="I21" s="2"/>
      <c r="J21" s="2"/>
      <c r="K21" s="2"/>
      <c r="L21" s="2"/>
      <c r="M21" s="2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0"/>
      <c r="G22" s="30"/>
      <c r="H22" s="30"/>
      <c r="I22" s="2"/>
      <c r="J22" s="2"/>
      <c r="K22" s="2"/>
      <c r="L22" s="2"/>
      <c r="M22" s="2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0"/>
      <c r="G23" s="30"/>
      <c r="H23" s="30"/>
      <c r="I23" s="2"/>
      <c r="J23" s="2"/>
      <c r="K23" s="2"/>
      <c r="L23" s="2"/>
      <c r="M23" s="2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0"/>
      <c r="G24" s="30"/>
      <c r="H24" s="30"/>
      <c r="I24" s="2"/>
      <c r="J24" s="2"/>
      <c r="K24" s="2"/>
      <c r="L24" s="2"/>
      <c r="M24" s="2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0"/>
      <c r="G25" s="30"/>
      <c r="H25" s="30"/>
      <c r="I25" s="2"/>
      <c r="J25" s="2"/>
      <c r="K25" s="2"/>
      <c r="L25" s="2"/>
      <c r="M25" s="2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0"/>
      <c r="G26" s="30"/>
      <c r="H26" s="30"/>
      <c r="I26" s="2"/>
      <c r="J26" s="2"/>
      <c r="K26" s="2"/>
      <c r="L26" s="2"/>
      <c r="M26" s="2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0"/>
      <c r="G27" s="30"/>
      <c r="H27" s="30"/>
      <c r="I27" s="2"/>
      <c r="J27" s="2"/>
      <c r="K27" s="2"/>
      <c r="L27" s="2"/>
      <c r="M27" s="2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0"/>
      <c r="G28" s="30"/>
      <c r="H28" s="30"/>
      <c r="I28" s="2"/>
      <c r="J28" s="2"/>
      <c r="K28" s="2"/>
      <c r="L28" s="2"/>
      <c r="M28" s="2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0"/>
      <c r="G29" s="30"/>
      <c r="H29" s="30"/>
      <c r="I29" s="2"/>
      <c r="J29" s="2"/>
      <c r="K29" s="2"/>
      <c r="L29" s="2"/>
      <c r="M29" s="2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0"/>
      <c r="G30" s="30"/>
      <c r="H30" s="30"/>
      <c r="I30" s="2"/>
      <c r="J30" s="2"/>
      <c r="K30" s="2"/>
      <c r="L30" s="2"/>
      <c r="M30" s="2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0"/>
      <c r="G31" s="30"/>
      <c r="H31" s="30"/>
      <c r="I31" s="2"/>
      <c r="J31" s="2"/>
      <c r="K31" s="2"/>
      <c r="L31" s="2"/>
      <c r="M31" s="2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0"/>
      <c r="G32" s="30"/>
      <c r="H32" s="30"/>
      <c r="I32" s="2"/>
      <c r="J32" s="2"/>
      <c r="K32" s="2"/>
      <c r="L32" s="2"/>
      <c r="M32" s="2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0"/>
      <c r="G33" s="30"/>
      <c r="H33" s="30"/>
      <c r="I33" s="2"/>
      <c r="J33" s="2"/>
      <c r="K33" s="2"/>
      <c r="L33" s="2"/>
      <c r="M33" s="2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0"/>
      <c r="G34" s="30"/>
      <c r="H34" s="30"/>
      <c r="I34" s="2"/>
      <c r="J34" s="2"/>
      <c r="K34" s="2"/>
      <c r="L34" s="2"/>
      <c r="M34" s="2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0"/>
      <c r="G35" s="30"/>
      <c r="H35" s="30"/>
      <c r="I35" s="2"/>
      <c r="J35" s="2"/>
      <c r="K35" s="2"/>
      <c r="L35" s="2"/>
      <c r="M35" s="2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0"/>
      <c r="G36" s="30"/>
      <c r="H36" s="30"/>
      <c r="I36" s="2"/>
      <c r="J36" s="2"/>
      <c r="K36" s="2"/>
      <c r="L36" s="2"/>
      <c r="M36" s="2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0"/>
      <c r="G37" s="30"/>
      <c r="H37" s="30"/>
      <c r="I37" s="2"/>
      <c r="J37" s="2"/>
      <c r="K37" s="2"/>
      <c r="L37" s="2"/>
      <c r="M37" s="2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0"/>
      <c r="G38" s="30"/>
      <c r="H38" s="30"/>
      <c r="I38" s="2"/>
      <c r="J38" s="2"/>
      <c r="K38" s="2"/>
      <c r="L38" s="2"/>
      <c r="M38" s="2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0"/>
      <c r="G39" s="30"/>
      <c r="H39" s="30"/>
      <c r="I39" s="2"/>
      <c r="J39" s="2"/>
      <c r="K39" s="2"/>
      <c r="L39" s="2"/>
      <c r="M39" s="2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0"/>
      <c r="G40" s="30"/>
      <c r="H40" s="30"/>
      <c r="I40" s="2"/>
      <c r="J40" s="2"/>
      <c r="K40" s="2"/>
      <c r="L40" s="2"/>
      <c r="M40" s="2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0"/>
      <c r="G41" s="30"/>
      <c r="H41" s="30"/>
      <c r="I41" s="2"/>
      <c r="J41" s="2"/>
      <c r="K41" s="2"/>
      <c r="L41" s="2"/>
      <c r="M41" s="2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0"/>
      <c r="G42" s="30"/>
      <c r="H42" s="30"/>
      <c r="I42" s="2"/>
      <c r="J42" s="2"/>
      <c r="K42" s="2"/>
      <c r="L42" s="2"/>
      <c r="M42" s="2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0"/>
      <c r="G43" s="30"/>
      <c r="H43" s="30"/>
      <c r="I43" s="2"/>
      <c r="J43" s="2"/>
      <c r="K43" s="2"/>
      <c r="L43" s="2"/>
      <c r="M43" s="2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0"/>
      <c r="G44" s="30"/>
      <c r="H44" s="30"/>
      <c r="I44" s="2"/>
      <c r="J44" s="2"/>
      <c r="K44" s="2"/>
      <c r="L44" s="2"/>
      <c r="M44" s="2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0"/>
      <c r="G45" s="30"/>
      <c r="H45" s="30"/>
      <c r="I45" s="2"/>
      <c r="J45" s="2"/>
      <c r="K45" s="2"/>
      <c r="L45" s="2"/>
      <c r="M45" s="2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0"/>
      <c r="G46" s="30"/>
      <c r="H46" s="30"/>
      <c r="I46" s="2"/>
      <c r="J46" s="2"/>
      <c r="K46" s="2"/>
      <c r="L46" s="2"/>
      <c r="M46" s="2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0"/>
      <c r="G47" s="30"/>
      <c r="H47" s="30"/>
      <c r="I47" s="2"/>
      <c r="J47" s="2"/>
      <c r="K47" s="2"/>
      <c r="L47" s="2"/>
      <c r="M47" s="2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0"/>
      <c r="G48" s="30"/>
      <c r="H48" s="30"/>
      <c r="I48" s="2"/>
      <c r="J48" s="2"/>
      <c r="K48" s="2"/>
      <c r="L48" s="2"/>
      <c r="M48" s="2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0"/>
      <c r="G49" s="30"/>
      <c r="H49" s="30"/>
      <c r="I49" s="2"/>
      <c r="J49" s="2"/>
      <c r="K49" s="2"/>
      <c r="L49" s="2"/>
      <c r="M49" s="2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0"/>
      <c r="G50" s="30"/>
      <c r="H50" s="30"/>
      <c r="I50" s="2"/>
      <c r="J50" s="2"/>
      <c r="K50" s="2"/>
      <c r="L50" s="2"/>
      <c r="M50" s="2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0"/>
      <c r="G51" s="30"/>
      <c r="H51" s="30"/>
      <c r="I51" s="2"/>
      <c r="J51" s="2"/>
      <c r="K51" s="2"/>
      <c r="L51" s="2"/>
      <c r="M51" s="2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0"/>
      <c r="G52" s="30"/>
      <c r="H52" s="30"/>
      <c r="I52" s="2"/>
      <c r="J52" s="2"/>
      <c r="K52" s="2"/>
      <c r="L52" s="2"/>
      <c r="M52" s="2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0"/>
      <c r="G53" s="30"/>
      <c r="H53" s="30"/>
      <c r="I53" s="2"/>
      <c r="J53" s="2"/>
      <c r="K53" s="2"/>
      <c r="L53" s="2"/>
      <c r="M53" s="2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0"/>
      <c r="G54" s="30"/>
      <c r="H54" s="30"/>
      <c r="I54" s="2"/>
      <c r="J54" s="2"/>
      <c r="K54" s="2"/>
      <c r="L54" s="2"/>
      <c r="M54" s="2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0"/>
      <c r="G55" s="30"/>
      <c r="H55" s="30"/>
      <c r="I55" s="2"/>
      <c r="J55" s="2"/>
      <c r="K55" s="2"/>
      <c r="L55" s="2"/>
      <c r="M55" s="2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0"/>
      <c r="G56" s="30"/>
      <c r="H56" s="30"/>
      <c r="I56" s="2"/>
      <c r="J56" s="2"/>
      <c r="K56" s="2"/>
      <c r="L56" s="2"/>
      <c r="M56" s="2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0"/>
      <c r="G57" s="30"/>
      <c r="H57" s="30"/>
      <c r="I57" s="2"/>
      <c r="J57" s="2"/>
      <c r="K57" s="2"/>
      <c r="L57" s="2"/>
      <c r="M57" s="2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0"/>
      <c r="G58" s="30"/>
      <c r="H58" s="30"/>
      <c r="I58" s="2"/>
      <c r="J58" s="2"/>
      <c r="K58" s="2"/>
      <c r="L58" s="2"/>
      <c r="M58" s="2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0"/>
      <c r="G59" s="30"/>
      <c r="H59" s="30"/>
      <c r="I59" s="2"/>
      <c r="J59" s="2"/>
      <c r="K59" s="2"/>
      <c r="L59" s="2"/>
      <c r="M59" s="2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0"/>
      <c r="G60" s="30"/>
      <c r="H60" s="30"/>
      <c r="I60" s="2"/>
      <c r="J60" s="2"/>
      <c r="K60" s="2"/>
      <c r="L60" s="2"/>
      <c r="M60" s="2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0"/>
      <c r="G61" s="30"/>
      <c r="H61" s="30"/>
      <c r="I61" s="2"/>
      <c r="J61" s="2"/>
      <c r="K61" s="2"/>
      <c r="L61" s="2"/>
      <c r="M61" s="2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0"/>
      <c r="G62" s="30"/>
      <c r="H62" s="30"/>
      <c r="I62" s="2"/>
      <c r="J62" s="2"/>
      <c r="K62" s="2"/>
      <c r="L62" s="2"/>
      <c r="M62" s="2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0"/>
      <c r="G63" s="30"/>
      <c r="H63" s="30"/>
      <c r="I63" s="2"/>
      <c r="J63" s="2"/>
      <c r="K63" s="2"/>
      <c r="L63" s="2"/>
      <c r="M63" s="2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0"/>
      <c r="G64" s="30"/>
      <c r="H64" s="30"/>
      <c r="I64" s="2"/>
      <c r="J64" s="2"/>
      <c r="K64" s="2"/>
      <c r="L64" s="2"/>
      <c r="M64" s="2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0"/>
      <c r="G65" s="30"/>
      <c r="H65" s="30"/>
      <c r="I65" s="2"/>
      <c r="J65" s="2"/>
      <c r="K65" s="2"/>
      <c r="L65" s="2"/>
      <c r="M65" s="2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0"/>
      <c r="G66" s="30"/>
      <c r="H66" s="30"/>
      <c r="I66" s="2"/>
      <c r="J66" s="2"/>
      <c r="K66" s="2"/>
      <c r="L66" s="2"/>
      <c r="M66" s="2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0"/>
      <c r="G67" s="30"/>
      <c r="H67" s="30"/>
      <c r="I67" s="2"/>
      <c r="J67" s="2"/>
      <c r="K67" s="2"/>
      <c r="L67" s="2"/>
      <c r="M67" s="2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0"/>
      <c r="G68" s="30"/>
      <c r="H68" s="30"/>
      <c r="I68" s="2"/>
      <c r="J68" s="2"/>
      <c r="K68" s="2"/>
      <c r="L68" s="2"/>
      <c r="M68" s="2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0"/>
      <c r="G69" s="30"/>
      <c r="H69" s="30"/>
      <c r="I69" s="2"/>
      <c r="J69" s="2"/>
      <c r="K69" s="2"/>
      <c r="L69" s="2"/>
      <c r="M69" s="2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0"/>
      <c r="G70" s="30"/>
      <c r="H70" s="30"/>
      <c r="I70" s="2"/>
      <c r="J70" s="2"/>
      <c r="K70" s="2"/>
      <c r="L70" s="2"/>
      <c r="M70" s="2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0"/>
      <c r="G71" s="30"/>
      <c r="H71" s="30"/>
      <c r="I71" s="2"/>
      <c r="J71" s="2"/>
      <c r="K71" s="2"/>
      <c r="L71" s="2"/>
      <c r="M71" s="2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0"/>
      <c r="G72" s="30"/>
      <c r="H72" s="30"/>
      <c r="I72" s="2"/>
      <c r="J72" s="2"/>
      <c r="K72" s="2"/>
      <c r="L72" s="2"/>
      <c r="M72" s="2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0"/>
      <c r="G73" s="30"/>
      <c r="H73" s="30"/>
      <c r="I73" s="2"/>
      <c r="J73" s="2"/>
      <c r="K73" s="2"/>
      <c r="L73" s="2"/>
      <c r="M73" s="2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0"/>
      <c r="G74" s="30"/>
      <c r="H74" s="30"/>
      <c r="I74" s="2"/>
      <c r="J74" s="2"/>
      <c r="K74" s="2"/>
      <c r="L74" s="2"/>
      <c r="M74" s="2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0"/>
      <c r="G75" s="30"/>
      <c r="H75" s="30"/>
      <c r="I75" s="2"/>
      <c r="J75" s="2"/>
      <c r="K75" s="2"/>
      <c r="L75" s="2"/>
      <c r="M75" s="2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0"/>
      <c r="G76" s="30"/>
      <c r="H76" s="30"/>
      <c r="I76" s="2"/>
      <c r="J76" s="2"/>
      <c r="K76" s="2"/>
      <c r="L76" s="2"/>
      <c r="M76" s="2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0"/>
      <c r="G77" s="30"/>
      <c r="H77" s="30"/>
      <c r="I77" s="2"/>
      <c r="J77" s="2"/>
      <c r="K77" s="2"/>
      <c r="L77" s="2"/>
      <c r="M77" s="2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0"/>
      <c r="G78" s="30"/>
      <c r="H78" s="30"/>
      <c r="I78" s="2"/>
      <c r="J78" s="2"/>
      <c r="K78" s="2"/>
      <c r="L78" s="2"/>
      <c r="M78" s="2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0"/>
      <c r="G79" s="30"/>
      <c r="H79" s="30"/>
      <c r="I79" s="2"/>
      <c r="J79" s="2"/>
      <c r="K79" s="2"/>
      <c r="L79" s="2"/>
      <c r="M79" s="2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0"/>
      <c r="G80" s="30"/>
      <c r="H80" s="30"/>
      <c r="I80" s="2"/>
      <c r="J80" s="2"/>
      <c r="K80" s="2"/>
      <c r="L80" s="2"/>
      <c r="M80" s="2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0"/>
      <c r="G81" s="30"/>
      <c r="H81" s="30"/>
      <c r="I81" s="2"/>
      <c r="J81" s="2"/>
      <c r="K81" s="2"/>
      <c r="L81" s="2"/>
      <c r="M81" s="2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0"/>
      <c r="G82" s="30"/>
      <c r="H82" s="30"/>
      <c r="I82" s="2"/>
      <c r="J82" s="2"/>
      <c r="K82" s="2"/>
      <c r="L82" s="2"/>
      <c r="M82" s="2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0"/>
      <c r="G83" s="30"/>
      <c r="H83" s="30"/>
      <c r="I83" s="2"/>
      <c r="J83" s="2"/>
      <c r="K83" s="2"/>
      <c r="L83" s="2"/>
      <c r="M83" s="2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0"/>
      <c r="G84" s="30"/>
      <c r="H84" s="30"/>
      <c r="I84" s="2"/>
      <c r="J84" s="2"/>
      <c r="K84" s="2"/>
      <c r="L84" s="2"/>
      <c r="M84" s="2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0"/>
      <c r="G85" s="30"/>
      <c r="H85" s="30"/>
      <c r="I85" s="2"/>
      <c r="J85" s="2"/>
      <c r="K85" s="2"/>
      <c r="L85" s="2"/>
      <c r="M85" s="2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0"/>
      <c r="G86" s="30"/>
      <c r="H86" s="30"/>
      <c r="I86" s="2"/>
      <c r="J86" s="2"/>
      <c r="K86" s="2"/>
      <c r="L86" s="2"/>
      <c r="M86" s="2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0"/>
      <c r="G87" s="30"/>
      <c r="H87" s="30"/>
      <c r="I87" s="2"/>
      <c r="J87" s="2"/>
      <c r="K87" s="2"/>
      <c r="L87" s="2"/>
      <c r="M87" s="2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0"/>
      <c r="G88" s="30"/>
      <c r="H88" s="30"/>
      <c r="I88" s="2"/>
      <c r="J88" s="2"/>
      <c r="K88" s="2"/>
      <c r="L88" s="2"/>
      <c r="M88" s="2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0"/>
      <c r="G89" s="30"/>
      <c r="H89" s="30"/>
      <c r="I89" s="2"/>
      <c r="J89" s="2"/>
      <c r="K89" s="2"/>
      <c r="L89" s="2"/>
      <c r="M89" s="2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0"/>
      <c r="G90" s="30"/>
      <c r="H90" s="30"/>
      <c r="I90" s="2"/>
      <c r="J90" s="2"/>
      <c r="K90" s="2"/>
      <c r="L90" s="2"/>
      <c r="M90" s="2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0"/>
      <c r="G91" s="30"/>
      <c r="H91" s="30"/>
      <c r="I91" s="2"/>
      <c r="J91" s="2"/>
      <c r="K91" s="2"/>
      <c r="L91" s="2"/>
      <c r="M91" s="2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0"/>
      <c r="G92" s="30"/>
      <c r="H92" s="30"/>
      <c r="I92" s="2"/>
      <c r="J92" s="2"/>
      <c r="K92" s="2"/>
      <c r="L92" s="2"/>
      <c r="M92" s="2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0"/>
      <c r="G93" s="30"/>
      <c r="H93" s="30"/>
      <c r="I93" s="2"/>
      <c r="J93" s="2"/>
      <c r="K93" s="2"/>
      <c r="L93" s="2"/>
      <c r="M93" s="2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0"/>
      <c r="G94" s="30"/>
      <c r="H94" s="30"/>
      <c r="I94" s="2"/>
      <c r="J94" s="2"/>
      <c r="K94" s="2"/>
      <c r="L94" s="2"/>
      <c r="M94" s="2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0"/>
      <c r="G95" s="30"/>
      <c r="H95" s="30"/>
      <c r="I95" s="2"/>
      <c r="J95" s="2"/>
      <c r="K95" s="2"/>
      <c r="L95" s="2"/>
      <c r="M95" s="2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0"/>
      <c r="G96" s="30"/>
      <c r="H96" s="30"/>
      <c r="I96" s="2"/>
      <c r="J96" s="2"/>
      <c r="K96" s="2"/>
      <c r="L96" s="2"/>
      <c r="M96" s="2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0"/>
      <c r="G97" s="30"/>
      <c r="H97" s="30"/>
      <c r="I97" s="2"/>
      <c r="J97" s="2"/>
      <c r="K97" s="2"/>
      <c r="L97" s="2"/>
      <c r="M97" s="2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0"/>
      <c r="G98" s="30"/>
      <c r="H98" s="30"/>
      <c r="I98" s="2"/>
      <c r="J98" s="2"/>
      <c r="K98" s="2"/>
      <c r="L98" s="2"/>
      <c r="M98" s="2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0"/>
      <c r="G99" s="30"/>
      <c r="H99" s="30"/>
      <c r="I99" s="2"/>
      <c r="J99" s="2"/>
      <c r="K99" s="2"/>
      <c r="L99" s="2"/>
      <c r="M99" s="2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0"/>
      <c r="G100" s="30"/>
      <c r="H100" s="30"/>
      <c r="I100" s="2"/>
      <c r="J100" s="2"/>
      <c r="K100" s="2"/>
      <c r="L100" s="2"/>
      <c r="M100" s="2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0"/>
      <c r="G101" s="30"/>
      <c r="H101" s="30"/>
      <c r="I101" s="2"/>
      <c r="J101" s="2"/>
      <c r="K101" s="2"/>
      <c r="L101" s="2"/>
      <c r="M101" s="2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0"/>
      <c r="G102" s="30"/>
      <c r="H102" s="30"/>
      <c r="I102" s="2"/>
      <c r="J102" s="2"/>
      <c r="K102" s="2"/>
      <c r="L102" s="2"/>
      <c r="M102" s="2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0"/>
      <c r="G103" s="30"/>
      <c r="H103" s="30"/>
      <c r="I103" s="2"/>
      <c r="J103" s="2"/>
      <c r="K103" s="2"/>
      <c r="L103" s="2"/>
      <c r="M103" s="2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0"/>
      <c r="G104" s="30"/>
      <c r="H104" s="30"/>
      <c r="I104" s="2"/>
      <c r="J104" s="2"/>
      <c r="K104" s="2"/>
      <c r="L104" s="2"/>
      <c r="M104" s="2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0"/>
      <c r="G105" s="30"/>
      <c r="H105" s="30"/>
      <c r="I105" s="2"/>
      <c r="J105" s="2"/>
      <c r="K105" s="2"/>
      <c r="L105" s="2"/>
      <c r="M105" s="2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0"/>
      <c r="G106" s="30"/>
      <c r="H106" s="30"/>
      <c r="I106" s="2"/>
      <c r="J106" s="2"/>
      <c r="K106" s="2"/>
      <c r="L106" s="2"/>
      <c r="M106" s="2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0"/>
      <c r="G107" s="30"/>
      <c r="H107" s="30"/>
      <c r="I107" s="2"/>
      <c r="J107" s="2"/>
      <c r="K107" s="2"/>
      <c r="L107" s="2"/>
      <c r="M107" s="2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0"/>
      <c r="G108" s="30"/>
      <c r="H108" s="30"/>
      <c r="I108" s="2"/>
      <c r="J108" s="2"/>
      <c r="K108" s="2"/>
      <c r="L108" s="2"/>
      <c r="M108" s="2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0"/>
      <c r="G109" s="30"/>
      <c r="H109" s="30"/>
      <c r="I109" s="2"/>
      <c r="J109" s="2"/>
      <c r="K109" s="2"/>
      <c r="L109" s="2"/>
      <c r="M109" s="2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0"/>
      <c r="G110" s="30"/>
      <c r="H110" s="30"/>
      <c r="I110" s="2"/>
      <c r="J110" s="2"/>
      <c r="K110" s="2"/>
      <c r="L110" s="2"/>
      <c r="M110" s="2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0"/>
      <c r="G111" s="30"/>
      <c r="H111" s="30"/>
      <c r="I111" s="2"/>
      <c r="J111" s="2"/>
      <c r="K111" s="2"/>
      <c r="L111" s="2"/>
      <c r="M111" s="2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0"/>
      <c r="G112" s="30"/>
      <c r="H112" s="30"/>
      <c r="I112" s="2"/>
      <c r="J112" s="2"/>
      <c r="K112" s="2"/>
      <c r="L112" s="2"/>
      <c r="M112" s="2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0"/>
      <c r="G113" s="30"/>
      <c r="H113" s="30"/>
      <c r="I113" s="2"/>
      <c r="J113" s="2"/>
      <c r="K113" s="2"/>
      <c r="L113" s="2"/>
      <c r="M113" s="2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0"/>
      <c r="G114" s="30"/>
      <c r="H114" s="30"/>
      <c r="I114" s="2"/>
      <c r="J114" s="2"/>
      <c r="K114" s="2"/>
      <c r="L114" s="2"/>
      <c r="M114" s="2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0"/>
      <c r="G115" s="30"/>
      <c r="H115" s="30"/>
      <c r="I115" s="2"/>
      <c r="J115" s="2"/>
      <c r="K115" s="2"/>
      <c r="L115" s="2"/>
      <c r="M115" s="2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0"/>
      <c r="G116" s="30"/>
      <c r="H116" s="30"/>
      <c r="I116" s="2"/>
      <c r="J116" s="2"/>
      <c r="K116" s="2"/>
      <c r="L116" s="2"/>
      <c r="M116" s="2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0"/>
      <c r="G117" s="30"/>
      <c r="H117" s="30"/>
      <c r="I117" s="2"/>
      <c r="J117" s="2"/>
      <c r="K117" s="2"/>
      <c r="L117" s="2"/>
      <c r="M117" s="2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0"/>
      <c r="G118" s="30"/>
      <c r="H118" s="30"/>
      <c r="I118" s="2"/>
      <c r="J118" s="2"/>
      <c r="K118" s="2"/>
      <c r="L118" s="2"/>
      <c r="M118" s="2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0"/>
      <c r="G119" s="30"/>
      <c r="H119" s="30"/>
      <c r="I119" s="2"/>
      <c r="J119" s="2"/>
      <c r="K119" s="2"/>
      <c r="L119" s="2"/>
      <c r="M119" s="2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0"/>
      <c r="G120" s="30"/>
      <c r="H120" s="30"/>
      <c r="I120" s="2"/>
      <c r="J120" s="2"/>
      <c r="K120" s="2"/>
      <c r="L120" s="2"/>
      <c r="M120" s="2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0"/>
      <c r="G121" s="30"/>
      <c r="H121" s="30"/>
      <c r="I121" s="2"/>
      <c r="J121" s="2"/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H121">
    <cfRule type="expression" dxfId="21" priority="1">
      <formula>MOD(ROW(),2)=0</formula>
    </cfRule>
  </conditionalFormatting>
  <dataValidations count="1">
    <dataValidation type="list" sqref="E2:E121" xr:uid="{00000000-0002-0000-0500-000000000000}">
      <formula1>"Compliant,Partially Compliant,Non-Compliant,Not Assessed,Not Applicable,Unable to Verify"</formula1>
    </dataValidation>
  </dataValidations>
  <hyperlinks>
    <hyperlink ref="X1" location="'Cover'!A1" display="Cover" xr:uid="{00000000-0004-0000-0500-000000000000}"/>
    <hyperlink ref="Y1" location="'Index'!A1" display="Index" xr:uid="{00000000-0004-0000-0500-000001000000}"/>
    <hyperlink ref="Z1" location="'Executive Dashboard'!A1" display="Dashboard" xr:uid="{00000000-0004-0000-0500-000002000000}"/>
    <hyperlink ref="AA1" location="'Live KPI Overview'!A1" display="Analytics" xr:uid="{00000000-0004-0000-05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50"/>
  <sheetViews>
    <sheetView showGridLines="0" workbookViewId="0">
      <pane ySplit="1" topLeftCell="A104" activePane="bottomLeft" state="frozen"/>
      <selection pane="bottomLeft" sqref="A1:I121"/>
    </sheetView>
  </sheetViews>
  <sheetFormatPr defaultRowHeight="13.8"/>
  <cols>
    <col min="1" max="2" width="17" customWidth="1"/>
    <col min="3" max="3" width="35" customWidth="1"/>
    <col min="4" max="4" width="17" customWidth="1"/>
    <col min="5" max="6" width="18.296875" customWidth="1"/>
    <col min="7" max="7" width="17" customWidth="1"/>
    <col min="8" max="8" width="17.296875" customWidth="1"/>
    <col min="9" max="9" width="17" customWidth="1"/>
    <col min="10" max="21" width="19" customWidth="1"/>
    <col min="24" max="27" width="13" customWidth="1"/>
  </cols>
  <sheetData>
    <row r="1" spans="1:27" ht="34.950000000000003" customHeight="1">
      <c r="A1" s="29" t="s">
        <v>161</v>
      </c>
      <c r="B1" s="29" t="s">
        <v>150</v>
      </c>
      <c r="C1" s="29" t="s">
        <v>164</v>
      </c>
      <c r="D1" s="29" t="s">
        <v>99</v>
      </c>
      <c r="E1" s="29" t="s">
        <v>165</v>
      </c>
      <c r="F1" s="29" t="s">
        <v>166</v>
      </c>
      <c r="G1" s="29" t="s">
        <v>167</v>
      </c>
      <c r="H1" s="29" t="s">
        <v>168</v>
      </c>
      <c r="I1" s="29" t="s">
        <v>169</v>
      </c>
      <c r="J1" s="4"/>
      <c r="K1" s="4"/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/>
      <c r="B2" s="30"/>
      <c r="C2" s="30"/>
      <c r="D2" s="30"/>
      <c r="E2" s="30"/>
      <c r="F2" s="30"/>
      <c r="G2" s="30"/>
      <c r="H2" s="30"/>
      <c r="I2" s="30" t="str">
        <f t="shared" ref="I2:I33" ca="1" si="0">IF(G2="","Not Verified",IF(G2&lt;TODAY(),"Expired",IF(H2="Verified","Current &amp; Verified","Pending Review")))</f>
        <v>Not Verified</v>
      </c>
      <c r="J2" s="7"/>
      <c r="K2" s="7"/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/>
      <c r="B3" s="30"/>
      <c r="C3" s="30"/>
      <c r="D3" s="30"/>
      <c r="E3" s="30"/>
      <c r="F3" s="30"/>
      <c r="G3" s="30"/>
      <c r="H3" s="30"/>
      <c r="I3" s="30" t="str">
        <f t="shared" ca="1" si="0"/>
        <v>Not Verified</v>
      </c>
      <c r="J3" s="2"/>
      <c r="K3" s="2"/>
      <c r="L3" s="2"/>
      <c r="M3" s="2"/>
      <c r="N3" s="2"/>
      <c r="O3" s="2"/>
      <c r="P3" s="2"/>
    </row>
    <row r="4" spans="1:27" ht="22.95" customHeight="1">
      <c r="A4" s="30"/>
      <c r="B4" s="30"/>
      <c r="C4" s="30"/>
      <c r="D4" s="30"/>
      <c r="E4" s="30"/>
      <c r="F4" s="30"/>
      <c r="G4" s="30"/>
      <c r="H4" s="30"/>
      <c r="I4" s="30" t="str">
        <f t="shared" ca="1" si="0"/>
        <v>Not Verified</v>
      </c>
      <c r="J4" s="2"/>
      <c r="K4" s="2"/>
      <c r="L4" s="2"/>
      <c r="M4" s="2"/>
      <c r="N4" s="2"/>
      <c r="O4" s="2"/>
      <c r="P4" s="2"/>
    </row>
    <row r="5" spans="1:27" ht="22.95" customHeight="1">
      <c r="A5" s="30"/>
      <c r="B5" s="30"/>
      <c r="C5" s="30"/>
      <c r="D5" s="30"/>
      <c r="E5" s="30"/>
      <c r="F5" s="30"/>
      <c r="G5" s="30"/>
      <c r="H5" s="30"/>
      <c r="I5" s="30" t="str">
        <f t="shared" ca="1" si="0"/>
        <v>Not Verified</v>
      </c>
      <c r="J5" s="2"/>
      <c r="K5" s="2"/>
      <c r="L5" s="2"/>
      <c r="M5" s="2"/>
      <c r="N5" s="2"/>
      <c r="O5" s="2"/>
      <c r="P5" s="2"/>
    </row>
    <row r="6" spans="1:27" ht="22.95" customHeight="1">
      <c r="A6" s="30"/>
      <c r="B6" s="30"/>
      <c r="C6" s="30"/>
      <c r="D6" s="30"/>
      <c r="E6" s="30"/>
      <c r="F6" s="30"/>
      <c r="G6" s="30"/>
      <c r="H6" s="30"/>
      <c r="I6" s="30" t="str">
        <f t="shared" ca="1" si="0"/>
        <v>Not Verified</v>
      </c>
      <c r="J6" s="2"/>
      <c r="K6" s="2"/>
      <c r="L6" s="2"/>
      <c r="M6" s="2"/>
      <c r="N6" s="2"/>
      <c r="O6" s="2"/>
      <c r="P6" s="2"/>
    </row>
    <row r="7" spans="1:27" ht="22.95" customHeight="1">
      <c r="A7" s="30"/>
      <c r="B7" s="30"/>
      <c r="C7" s="30"/>
      <c r="D7" s="30"/>
      <c r="E7" s="30"/>
      <c r="F7" s="30"/>
      <c r="G7" s="30"/>
      <c r="H7" s="30"/>
      <c r="I7" s="30" t="str">
        <f t="shared" ca="1" si="0"/>
        <v>Not Verified</v>
      </c>
      <c r="J7" s="2"/>
      <c r="K7" s="2"/>
      <c r="L7" s="2"/>
      <c r="M7" s="2"/>
      <c r="N7" s="2"/>
      <c r="O7" s="2"/>
      <c r="P7" s="2"/>
    </row>
    <row r="8" spans="1:27" ht="22.95" customHeight="1">
      <c r="A8" s="30"/>
      <c r="B8" s="30"/>
      <c r="C8" s="30"/>
      <c r="D8" s="30"/>
      <c r="E8" s="30"/>
      <c r="F8" s="30"/>
      <c r="G8" s="30"/>
      <c r="H8" s="30"/>
      <c r="I8" s="30" t="str">
        <f t="shared" ca="1" si="0"/>
        <v>Not Verified</v>
      </c>
      <c r="J8" s="2"/>
      <c r="K8" s="2"/>
      <c r="L8" s="2"/>
      <c r="M8" s="2"/>
      <c r="N8" s="2"/>
      <c r="O8" s="2"/>
      <c r="P8" s="2"/>
    </row>
    <row r="9" spans="1:27" ht="22.95" customHeight="1">
      <c r="A9" s="30"/>
      <c r="B9" s="30"/>
      <c r="C9" s="30"/>
      <c r="D9" s="30"/>
      <c r="E9" s="30"/>
      <c r="F9" s="30"/>
      <c r="G9" s="30"/>
      <c r="H9" s="30"/>
      <c r="I9" s="30" t="str">
        <f t="shared" ca="1" si="0"/>
        <v>Not Verified</v>
      </c>
      <c r="J9" s="2"/>
      <c r="K9" s="2"/>
      <c r="L9" s="2"/>
      <c r="M9" s="2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0"/>
      <c r="G10" s="30"/>
      <c r="H10" s="30"/>
      <c r="I10" s="30" t="str">
        <f t="shared" ca="1" si="0"/>
        <v>Not Verified</v>
      </c>
      <c r="J10" s="2"/>
      <c r="K10" s="2"/>
      <c r="L10" s="2"/>
      <c r="M10" s="2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0"/>
      <c r="G11" s="30"/>
      <c r="H11" s="30"/>
      <c r="I11" s="30" t="str">
        <f t="shared" ca="1" si="0"/>
        <v>Not Verified</v>
      </c>
      <c r="J11" s="2"/>
      <c r="K11" s="2"/>
      <c r="L11" s="2"/>
      <c r="M11" s="2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0"/>
      <c r="G12" s="30"/>
      <c r="H12" s="30"/>
      <c r="I12" s="30" t="str">
        <f t="shared" ca="1" si="0"/>
        <v>Not Verified</v>
      </c>
      <c r="J12" s="2"/>
      <c r="K12" s="2"/>
      <c r="L12" s="2"/>
      <c r="M12" s="2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0"/>
      <c r="G13" s="30"/>
      <c r="H13" s="30"/>
      <c r="I13" s="30" t="str">
        <f t="shared" ca="1" si="0"/>
        <v>Not Verified</v>
      </c>
      <c r="J13" s="2"/>
      <c r="K13" s="2"/>
      <c r="L13" s="2"/>
      <c r="M13" s="2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0"/>
      <c r="G14" s="30"/>
      <c r="H14" s="30"/>
      <c r="I14" s="30" t="str">
        <f t="shared" ca="1" si="0"/>
        <v>Not Verified</v>
      </c>
      <c r="J14" s="2"/>
      <c r="K14" s="2"/>
      <c r="L14" s="2"/>
      <c r="M14" s="2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0"/>
      <c r="G15" s="30"/>
      <c r="H15" s="30"/>
      <c r="I15" s="30" t="str">
        <f t="shared" ca="1" si="0"/>
        <v>Not Verified</v>
      </c>
      <c r="J15" s="2"/>
      <c r="K15" s="2"/>
      <c r="L15" s="2"/>
      <c r="M15" s="2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0"/>
      <c r="G16" s="30"/>
      <c r="H16" s="30"/>
      <c r="I16" s="30" t="str">
        <f t="shared" ca="1" si="0"/>
        <v>Not Verified</v>
      </c>
      <c r="J16" s="2"/>
      <c r="K16" s="2"/>
      <c r="L16" s="2"/>
      <c r="M16" s="2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0"/>
      <c r="G17" s="30"/>
      <c r="H17" s="30"/>
      <c r="I17" s="30" t="str">
        <f t="shared" ca="1" si="0"/>
        <v>Not Verified</v>
      </c>
      <c r="J17" s="2"/>
      <c r="K17" s="2"/>
      <c r="L17" s="2"/>
      <c r="M17" s="2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0"/>
      <c r="G18" s="30"/>
      <c r="H18" s="30"/>
      <c r="I18" s="30" t="str">
        <f t="shared" ca="1" si="0"/>
        <v>Not Verified</v>
      </c>
      <c r="J18" s="2"/>
      <c r="K18" s="2"/>
      <c r="L18" s="2"/>
      <c r="M18" s="2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0"/>
      <c r="G19" s="30"/>
      <c r="H19" s="30"/>
      <c r="I19" s="30" t="str">
        <f t="shared" ca="1" si="0"/>
        <v>Not Verified</v>
      </c>
      <c r="J19" s="2"/>
      <c r="K19" s="2"/>
      <c r="L19" s="2"/>
      <c r="M19" s="2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0"/>
      <c r="G20" s="30"/>
      <c r="H20" s="30"/>
      <c r="I20" s="30" t="str">
        <f t="shared" ca="1" si="0"/>
        <v>Not Verified</v>
      </c>
      <c r="J20" s="2"/>
      <c r="K20" s="2"/>
      <c r="L20" s="2"/>
      <c r="M20" s="2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0"/>
      <c r="G21" s="30"/>
      <c r="H21" s="30"/>
      <c r="I21" s="30" t="str">
        <f t="shared" ca="1" si="0"/>
        <v>Not Verified</v>
      </c>
      <c r="J21" s="2"/>
      <c r="K21" s="2"/>
      <c r="L21" s="2"/>
      <c r="M21" s="2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0"/>
      <c r="G22" s="30"/>
      <c r="H22" s="30"/>
      <c r="I22" s="30" t="str">
        <f t="shared" ca="1" si="0"/>
        <v>Not Verified</v>
      </c>
      <c r="J22" s="2"/>
      <c r="K22" s="2"/>
      <c r="L22" s="2"/>
      <c r="M22" s="2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0"/>
      <c r="G23" s="30"/>
      <c r="H23" s="30"/>
      <c r="I23" s="30" t="str">
        <f t="shared" ca="1" si="0"/>
        <v>Not Verified</v>
      </c>
      <c r="J23" s="2"/>
      <c r="K23" s="2"/>
      <c r="L23" s="2"/>
      <c r="M23" s="2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0"/>
      <c r="G24" s="30"/>
      <c r="H24" s="30"/>
      <c r="I24" s="30" t="str">
        <f t="shared" ca="1" si="0"/>
        <v>Not Verified</v>
      </c>
      <c r="J24" s="2"/>
      <c r="K24" s="2"/>
      <c r="L24" s="2"/>
      <c r="M24" s="2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0"/>
      <c r="G25" s="30"/>
      <c r="H25" s="30"/>
      <c r="I25" s="30" t="str">
        <f t="shared" ca="1" si="0"/>
        <v>Not Verified</v>
      </c>
      <c r="J25" s="2"/>
      <c r="K25" s="2"/>
      <c r="L25" s="2"/>
      <c r="M25" s="2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0"/>
      <c r="G26" s="30"/>
      <c r="H26" s="30"/>
      <c r="I26" s="30" t="str">
        <f t="shared" ca="1" si="0"/>
        <v>Not Verified</v>
      </c>
      <c r="J26" s="2"/>
      <c r="K26" s="2"/>
      <c r="L26" s="2"/>
      <c r="M26" s="2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0"/>
      <c r="G27" s="30"/>
      <c r="H27" s="30"/>
      <c r="I27" s="30" t="str">
        <f t="shared" ca="1" si="0"/>
        <v>Not Verified</v>
      </c>
      <c r="J27" s="2"/>
      <c r="K27" s="2"/>
      <c r="L27" s="2"/>
      <c r="M27" s="2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0"/>
      <c r="G28" s="30"/>
      <c r="H28" s="30"/>
      <c r="I28" s="30" t="str">
        <f t="shared" ca="1" si="0"/>
        <v>Not Verified</v>
      </c>
      <c r="J28" s="2"/>
      <c r="K28" s="2"/>
      <c r="L28" s="2"/>
      <c r="M28" s="2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0"/>
      <c r="G29" s="30"/>
      <c r="H29" s="30"/>
      <c r="I29" s="30" t="str">
        <f t="shared" ca="1" si="0"/>
        <v>Not Verified</v>
      </c>
      <c r="J29" s="2"/>
      <c r="K29" s="2"/>
      <c r="L29" s="2"/>
      <c r="M29" s="2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0"/>
      <c r="G30" s="30"/>
      <c r="H30" s="30"/>
      <c r="I30" s="30" t="str">
        <f t="shared" ca="1" si="0"/>
        <v>Not Verified</v>
      </c>
      <c r="J30" s="2"/>
      <c r="K30" s="2"/>
      <c r="L30" s="2"/>
      <c r="M30" s="2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0"/>
      <c r="G31" s="30"/>
      <c r="H31" s="30"/>
      <c r="I31" s="30" t="str">
        <f t="shared" ca="1" si="0"/>
        <v>Not Verified</v>
      </c>
      <c r="J31" s="2"/>
      <c r="K31" s="2"/>
      <c r="L31" s="2"/>
      <c r="M31" s="2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0"/>
      <c r="G32" s="30"/>
      <c r="H32" s="30"/>
      <c r="I32" s="30" t="str">
        <f t="shared" ca="1" si="0"/>
        <v>Not Verified</v>
      </c>
      <c r="J32" s="2"/>
      <c r="K32" s="2"/>
      <c r="L32" s="2"/>
      <c r="M32" s="2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0"/>
      <c r="G33" s="30"/>
      <c r="H33" s="30"/>
      <c r="I33" s="30" t="str">
        <f t="shared" ca="1" si="0"/>
        <v>Not Verified</v>
      </c>
      <c r="J33" s="2"/>
      <c r="K33" s="2"/>
      <c r="L33" s="2"/>
      <c r="M33" s="2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0"/>
      <c r="G34" s="30"/>
      <c r="H34" s="30"/>
      <c r="I34" s="30" t="str">
        <f t="shared" ref="I34:I65" ca="1" si="1">IF(G34="","Not Verified",IF(G34&lt;TODAY(),"Expired",IF(H34="Verified","Current &amp; Verified","Pending Review")))</f>
        <v>Not Verified</v>
      </c>
      <c r="J34" s="2"/>
      <c r="K34" s="2"/>
      <c r="L34" s="2"/>
      <c r="M34" s="2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0"/>
      <c r="G35" s="30"/>
      <c r="H35" s="30"/>
      <c r="I35" s="30" t="str">
        <f t="shared" ca="1" si="1"/>
        <v>Not Verified</v>
      </c>
      <c r="J35" s="2"/>
      <c r="K35" s="2"/>
      <c r="L35" s="2"/>
      <c r="M35" s="2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0"/>
      <c r="G36" s="30"/>
      <c r="H36" s="30"/>
      <c r="I36" s="30" t="str">
        <f t="shared" ca="1" si="1"/>
        <v>Not Verified</v>
      </c>
      <c r="J36" s="2"/>
      <c r="K36" s="2"/>
      <c r="L36" s="2"/>
      <c r="M36" s="2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0"/>
      <c r="G37" s="30"/>
      <c r="H37" s="30"/>
      <c r="I37" s="30" t="str">
        <f t="shared" ca="1" si="1"/>
        <v>Not Verified</v>
      </c>
      <c r="J37" s="2"/>
      <c r="K37" s="2"/>
      <c r="L37" s="2"/>
      <c r="M37" s="2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0"/>
      <c r="G38" s="30"/>
      <c r="H38" s="30"/>
      <c r="I38" s="30" t="str">
        <f t="shared" ca="1" si="1"/>
        <v>Not Verified</v>
      </c>
      <c r="J38" s="2"/>
      <c r="K38" s="2"/>
      <c r="L38" s="2"/>
      <c r="M38" s="2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0"/>
      <c r="G39" s="30"/>
      <c r="H39" s="30"/>
      <c r="I39" s="30" t="str">
        <f t="shared" ca="1" si="1"/>
        <v>Not Verified</v>
      </c>
      <c r="J39" s="2"/>
      <c r="K39" s="2"/>
      <c r="L39" s="2"/>
      <c r="M39" s="2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0"/>
      <c r="G40" s="30"/>
      <c r="H40" s="30"/>
      <c r="I40" s="30" t="str">
        <f t="shared" ca="1" si="1"/>
        <v>Not Verified</v>
      </c>
      <c r="J40" s="2"/>
      <c r="K40" s="2"/>
      <c r="L40" s="2"/>
      <c r="M40" s="2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0"/>
      <c r="G41" s="30"/>
      <c r="H41" s="30"/>
      <c r="I41" s="30" t="str">
        <f t="shared" ca="1" si="1"/>
        <v>Not Verified</v>
      </c>
      <c r="J41" s="2"/>
      <c r="K41" s="2"/>
      <c r="L41" s="2"/>
      <c r="M41" s="2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0"/>
      <c r="G42" s="30"/>
      <c r="H42" s="30"/>
      <c r="I42" s="30" t="str">
        <f t="shared" ca="1" si="1"/>
        <v>Not Verified</v>
      </c>
      <c r="J42" s="2"/>
      <c r="K42" s="2"/>
      <c r="L42" s="2"/>
      <c r="M42" s="2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0"/>
      <c r="G43" s="30"/>
      <c r="H43" s="30"/>
      <c r="I43" s="30" t="str">
        <f t="shared" ca="1" si="1"/>
        <v>Not Verified</v>
      </c>
      <c r="J43" s="2"/>
      <c r="K43" s="2"/>
      <c r="L43" s="2"/>
      <c r="M43" s="2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0"/>
      <c r="G44" s="30"/>
      <c r="H44" s="30"/>
      <c r="I44" s="30" t="str">
        <f t="shared" ca="1" si="1"/>
        <v>Not Verified</v>
      </c>
      <c r="J44" s="2"/>
      <c r="K44" s="2"/>
      <c r="L44" s="2"/>
      <c r="M44" s="2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0"/>
      <c r="G45" s="30"/>
      <c r="H45" s="30"/>
      <c r="I45" s="30" t="str">
        <f t="shared" ca="1" si="1"/>
        <v>Not Verified</v>
      </c>
      <c r="J45" s="2"/>
      <c r="K45" s="2"/>
      <c r="L45" s="2"/>
      <c r="M45" s="2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0"/>
      <c r="G46" s="30"/>
      <c r="H46" s="30"/>
      <c r="I46" s="30" t="str">
        <f t="shared" ca="1" si="1"/>
        <v>Not Verified</v>
      </c>
      <c r="J46" s="2"/>
      <c r="K46" s="2"/>
      <c r="L46" s="2"/>
      <c r="M46" s="2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0"/>
      <c r="G47" s="30"/>
      <c r="H47" s="30"/>
      <c r="I47" s="30" t="str">
        <f t="shared" ca="1" si="1"/>
        <v>Not Verified</v>
      </c>
      <c r="J47" s="2"/>
      <c r="K47" s="2"/>
      <c r="L47" s="2"/>
      <c r="M47" s="2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0"/>
      <c r="G48" s="30"/>
      <c r="H48" s="30"/>
      <c r="I48" s="30" t="str">
        <f t="shared" ca="1" si="1"/>
        <v>Not Verified</v>
      </c>
      <c r="J48" s="2"/>
      <c r="K48" s="2"/>
      <c r="L48" s="2"/>
      <c r="M48" s="2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0"/>
      <c r="G49" s="30"/>
      <c r="H49" s="30"/>
      <c r="I49" s="30" t="str">
        <f t="shared" ca="1" si="1"/>
        <v>Not Verified</v>
      </c>
      <c r="J49" s="2"/>
      <c r="K49" s="2"/>
      <c r="L49" s="2"/>
      <c r="M49" s="2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0"/>
      <c r="G50" s="30"/>
      <c r="H50" s="30"/>
      <c r="I50" s="30" t="str">
        <f t="shared" ca="1" si="1"/>
        <v>Not Verified</v>
      </c>
      <c r="J50" s="2"/>
      <c r="K50" s="2"/>
      <c r="L50" s="2"/>
      <c r="M50" s="2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0"/>
      <c r="G51" s="30"/>
      <c r="H51" s="30"/>
      <c r="I51" s="30" t="str">
        <f t="shared" ca="1" si="1"/>
        <v>Not Verified</v>
      </c>
      <c r="J51" s="2"/>
      <c r="K51" s="2"/>
      <c r="L51" s="2"/>
      <c r="M51" s="2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0"/>
      <c r="G52" s="30"/>
      <c r="H52" s="30"/>
      <c r="I52" s="30" t="str">
        <f t="shared" ca="1" si="1"/>
        <v>Not Verified</v>
      </c>
      <c r="J52" s="2"/>
      <c r="K52" s="2"/>
      <c r="L52" s="2"/>
      <c r="M52" s="2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0"/>
      <c r="G53" s="30"/>
      <c r="H53" s="30"/>
      <c r="I53" s="30" t="str">
        <f t="shared" ca="1" si="1"/>
        <v>Not Verified</v>
      </c>
      <c r="J53" s="2"/>
      <c r="K53" s="2"/>
      <c r="L53" s="2"/>
      <c r="M53" s="2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0"/>
      <c r="G54" s="30"/>
      <c r="H54" s="30"/>
      <c r="I54" s="30" t="str">
        <f t="shared" ca="1" si="1"/>
        <v>Not Verified</v>
      </c>
      <c r="J54" s="2"/>
      <c r="K54" s="2"/>
      <c r="L54" s="2"/>
      <c r="M54" s="2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0"/>
      <c r="G55" s="30"/>
      <c r="H55" s="30"/>
      <c r="I55" s="30" t="str">
        <f t="shared" ca="1" si="1"/>
        <v>Not Verified</v>
      </c>
      <c r="J55" s="2"/>
      <c r="K55" s="2"/>
      <c r="L55" s="2"/>
      <c r="M55" s="2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0"/>
      <c r="G56" s="30"/>
      <c r="H56" s="30"/>
      <c r="I56" s="30" t="str">
        <f t="shared" ca="1" si="1"/>
        <v>Not Verified</v>
      </c>
      <c r="J56" s="2"/>
      <c r="K56" s="2"/>
      <c r="L56" s="2"/>
      <c r="M56" s="2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0"/>
      <c r="G57" s="30"/>
      <c r="H57" s="30"/>
      <c r="I57" s="30" t="str">
        <f t="shared" ca="1" si="1"/>
        <v>Not Verified</v>
      </c>
      <c r="J57" s="2"/>
      <c r="K57" s="2"/>
      <c r="L57" s="2"/>
      <c r="M57" s="2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0"/>
      <c r="G58" s="30"/>
      <c r="H58" s="30"/>
      <c r="I58" s="30" t="str">
        <f t="shared" ca="1" si="1"/>
        <v>Not Verified</v>
      </c>
      <c r="J58" s="2"/>
      <c r="K58" s="2"/>
      <c r="L58" s="2"/>
      <c r="M58" s="2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0"/>
      <c r="G59" s="30"/>
      <c r="H59" s="30"/>
      <c r="I59" s="30" t="str">
        <f t="shared" ca="1" si="1"/>
        <v>Not Verified</v>
      </c>
      <c r="J59" s="2"/>
      <c r="K59" s="2"/>
      <c r="L59" s="2"/>
      <c r="M59" s="2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0"/>
      <c r="G60" s="30"/>
      <c r="H60" s="30"/>
      <c r="I60" s="30" t="str">
        <f t="shared" ca="1" si="1"/>
        <v>Not Verified</v>
      </c>
      <c r="J60" s="2"/>
      <c r="K60" s="2"/>
      <c r="L60" s="2"/>
      <c r="M60" s="2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0"/>
      <c r="G61" s="30"/>
      <c r="H61" s="30"/>
      <c r="I61" s="30" t="str">
        <f t="shared" ca="1" si="1"/>
        <v>Not Verified</v>
      </c>
      <c r="J61" s="2"/>
      <c r="K61" s="2"/>
      <c r="L61" s="2"/>
      <c r="M61" s="2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0"/>
      <c r="G62" s="30"/>
      <c r="H62" s="30"/>
      <c r="I62" s="30" t="str">
        <f t="shared" ca="1" si="1"/>
        <v>Not Verified</v>
      </c>
      <c r="J62" s="2"/>
      <c r="K62" s="2"/>
      <c r="L62" s="2"/>
      <c r="M62" s="2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0"/>
      <c r="G63" s="30"/>
      <c r="H63" s="30"/>
      <c r="I63" s="30" t="str">
        <f t="shared" ca="1" si="1"/>
        <v>Not Verified</v>
      </c>
      <c r="J63" s="2"/>
      <c r="K63" s="2"/>
      <c r="L63" s="2"/>
      <c r="M63" s="2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0"/>
      <c r="G64" s="30"/>
      <c r="H64" s="30"/>
      <c r="I64" s="30" t="str">
        <f t="shared" ca="1" si="1"/>
        <v>Not Verified</v>
      </c>
      <c r="J64" s="2"/>
      <c r="K64" s="2"/>
      <c r="L64" s="2"/>
      <c r="M64" s="2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0"/>
      <c r="G65" s="30"/>
      <c r="H65" s="30"/>
      <c r="I65" s="30" t="str">
        <f t="shared" ca="1" si="1"/>
        <v>Not Verified</v>
      </c>
      <c r="J65" s="2"/>
      <c r="K65" s="2"/>
      <c r="L65" s="2"/>
      <c r="M65" s="2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0"/>
      <c r="G66" s="30"/>
      <c r="H66" s="30"/>
      <c r="I66" s="30" t="str">
        <f t="shared" ref="I66:I97" ca="1" si="2">IF(G66="","Not Verified",IF(G66&lt;TODAY(),"Expired",IF(H66="Verified","Current &amp; Verified","Pending Review")))</f>
        <v>Not Verified</v>
      </c>
      <c r="J66" s="2"/>
      <c r="K66" s="2"/>
      <c r="L66" s="2"/>
      <c r="M66" s="2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0"/>
      <c r="G67" s="30"/>
      <c r="H67" s="30"/>
      <c r="I67" s="30" t="str">
        <f t="shared" ca="1" si="2"/>
        <v>Not Verified</v>
      </c>
      <c r="J67" s="2"/>
      <c r="K67" s="2"/>
      <c r="L67" s="2"/>
      <c r="M67" s="2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0"/>
      <c r="G68" s="30"/>
      <c r="H68" s="30"/>
      <c r="I68" s="30" t="str">
        <f t="shared" ca="1" si="2"/>
        <v>Not Verified</v>
      </c>
      <c r="J68" s="2"/>
      <c r="K68" s="2"/>
      <c r="L68" s="2"/>
      <c r="M68" s="2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0"/>
      <c r="G69" s="30"/>
      <c r="H69" s="30"/>
      <c r="I69" s="30" t="str">
        <f t="shared" ca="1" si="2"/>
        <v>Not Verified</v>
      </c>
      <c r="J69" s="2"/>
      <c r="K69" s="2"/>
      <c r="L69" s="2"/>
      <c r="M69" s="2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0"/>
      <c r="G70" s="30"/>
      <c r="H70" s="30"/>
      <c r="I70" s="30" t="str">
        <f t="shared" ca="1" si="2"/>
        <v>Not Verified</v>
      </c>
      <c r="J70" s="2"/>
      <c r="K70" s="2"/>
      <c r="L70" s="2"/>
      <c r="M70" s="2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0"/>
      <c r="G71" s="30"/>
      <c r="H71" s="30"/>
      <c r="I71" s="30" t="str">
        <f t="shared" ca="1" si="2"/>
        <v>Not Verified</v>
      </c>
      <c r="J71" s="2"/>
      <c r="K71" s="2"/>
      <c r="L71" s="2"/>
      <c r="M71" s="2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0"/>
      <c r="G72" s="30"/>
      <c r="H72" s="30"/>
      <c r="I72" s="30" t="str">
        <f t="shared" ca="1" si="2"/>
        <v>Not Verified</v>
      </c>
      <c r="J72" s="2"/>
      <c r="K72" s="2"/>
      <c r="L72" s="2"/>
      <c r="M72" s="2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0"/>
      <c r="G73" s="30"/>
      <c r="H73" s="30"/>
      <c r="I73" s="30" t="str">
        <f t="shared" ca="1" si="2"/>
        <v>Not Verified</v>
      </c>
      <c r="J73" s="2"/>
      <c r="K73" s="2"/>
      <c r="L73" s="2"/>
      <c r="M73" s="2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0"/>
      <c r="G74" s="30"/>
      <c r="H74" s="30"/>
      <c r="I74" s="30" t="str">
        <f t="shared" ca="1" si="2"/>
        <v>Not Verified</v>
      </c>
      <c r="J74" s="2"/>
      <c r="K74" s="2"/>
      <c r="L74" s="2"/>
      <c r="M74" s="2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0"/>
      <c r="G75" s="30"/>
      <c r="H75" s="30"/>
      <c r="I75" s="30" t="str">
        <f t="shared" ca="1" si="2"/>
        <v>Not Verified</v>
      </c>
      <c r="J75" s="2"/>
      <c r="K75" s="2"/>
      <c r="L75" s="2"/>
      <c r="M75" s="2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0"/>
      <c r="G76" s="30"/>
      <c r="H76" s="30"/>
      <c r="I76" s="30" t="str">
        <f t="shared" ca="1" si="2"/>
        <v>Not Verified</v>
      </c>
      <c r="J76" s="2"/>
      <c r="K76" s="2"/>
      <c r="L76" s="2"/>
      <c r="M76" s="2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0"/>
      <c r="G77" s="30"/>
      <c r="H77" s="30"/>
      <c r="I77" s="30" t="str">
        <f t="shared" ca="1" si="2"/>
        <v>Not Verified</v>
      </c>
      <c r="J77" s="2"/>
      <c r="K77" s="2"/>
      <c r="L77" s="2"/>
      <c r="M77" s="2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0"/>
      <c r="G78" s="30"/>
      <c r="H78" s="30"/>
      <c r="I78" s="30" t="str">
        <f t="shared" ca="1" si="2"/>
        <v>Not Verified</v>
      </c>
      <c r="J78" s="2"/>
      <c r="K78" s="2"/>
      <c r="L78" s="2"/>
      <c r="M78" s="2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0"/>
      <c r="G79" s="30"/>
      <c r="H79" s="30"/>
      <c r="I79" s="30" t="str">
        <f t="shared" ca="1" si="2"/>
        <v>Not Verified</v>
      </c>
      <c r="J79" s="2"/>
      <c r="K79" s="2"/>
      <c r="L79" s="2"/>
      <c r="M79" s="2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0"/>
      <c r="G80" s="30"/>
      <c r="H80" s="30"/>
      <c r="I80" s="30" t="str">
        <f t="shared" ca="1" si="2"/>
        <v>Not Verified</v>
      </c>
      <c r="J80" s="2"/>
      <c r="K80" s="2"/>
      <c r="L80" s="2"/>
      <c r="M80" s="2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0"/>
      <c r="G81" s="30"/>
      <c r="H81" s="30"/>
      <c r="I81" s="30" t="str">
        <f t="shared" ca="1" si="2"/>
        <v>Not Verified</v>
      </c>
      <c r="J81" s="2"/>
      <c r="K81" s="2"/>
      <c r="L81" s="2"/>
      <c r="M81" s="2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0"/>
      <c r="G82" s="30"/>
      <c r="H82" s="30"/>
      <c r="I82" s="30" t="str">
        <f t="shared" ca="1" si="2"/>
        <v>Not Verified</v>
      </c>
      <c r="J82" s="2"/>
      <c r="K82" s="2"/>
      <c r="L82" s="2"/>
      <c r="M82" s="2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0"/>
      <c r="G83" s="30"/>
      <c r="H83" s="30"/>
      <c r="I83" s="30" t="str">
        <f t="shared" ca="1" si="2"/>
        <v>Not Verified</v>
      </c>
      <c r="J83" s="2"/>
      <c r="K83" s="2"/>
      <c r="L83" s="2"/>
      <c r="M83" s="2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0"/>
      <c r="G84" s="30"/>
      <c r="H84" s="30"/>
      <c r="I84" s="30" t="str">
        <f t="shared" ca="1" si="2"/>
        <v>Not Verified</v>
      </c>
      <c r="J84" s="2"/>
      <c r="K84" s="2"/>
      <c r="L84" s="2"/>
      <c r="M84" s="2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0"/>
      <c r="G85" s="30"/>
      <c r="H85" s="30"/>
      <c r="I85" s="30" t="str">
        <f t="shared" ca="1" si="2"/>
        <v>Not Verified</v>
      </c>
      <c r="J85" s="2"/>
      <c r="K85" s="2"/>
      <c r="L85" s="2"/>
      <c r="M85" s="2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0"/>
      <c r="G86" s="30"/>
      <c r="H86" s="30"/>
      <c r="I86" s="30" t="str">
        <f t="shared" ca="1" si="2"/>
        <v>Not Verified</v>
      </c>
      <c r="J86" s="2"/>
      <c r="K86" s="2"/>
      <c r="L86" s="2"/>
      <c r="M86" s="2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0"/>
      <c r="G87" s="30"/>
      <c r="H87" s="30"/>
      <c r="I87" s="30" t="str">
        <f t="shared" ca="1" si="2"/>
        <v>Not Verified</v>
      </c>
      <c r="J87" s="2"/>
      <c r="K87" s="2"/>
      <c r="L87" s="2"/>
      <c r="M87" s="2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0"/>
      <c r="G88" s="30"/>
      <c r="H88" s="30"/>
      <c r="I88" s="30" t="str">
        <f t="shared" ca="1" si="2"/>
        <v>Not Verified</v>
      </c>
      <c r="J88" s="2"/>
      <c r="K88" s="2"/>
      <c r="L88" s="2"/>
      <c r="M88" s="2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0"/>
      <c r="G89" s="30"/>
      <c r="H89" s="30"/>
      <c r="I89" s="30" t="str">
        <f t="shared" ca="1" si="2"/>
        <v>Not Verified</v>
      </c>
      <c r="J89" s="2"/>
      <c r="K89" s="2"/>
      <c r="L89" s="2"/>
      <c r="M89" s="2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0"/>
      <c r="G90" s="30"/>
      <c r="H90" s="30"/>
      <c r="I90" s="30" t="str">
        <f t="shared" ca="1" si="2"/>
        <v>Not Verified</v>
      </c>
      <c r="J90" s="2"/>
      <c r="K90" s="2"/>
      <c r="L90" s="2"/>
      <c r="M90" s="2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0"/>
      <c r="G91" s="30"/>
      <c r="H91" s="30"/>
      <c r="I91" s="30" t="str">
        <f t="shared" ca="1" si="2"/>
        <v>Not Verified</v>
      </c>
      <c r="J91" s="2"/>
      <c r="K91" s="2"/>
      <c r="L91" s="2"/>
      <c r="M91" s="2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0"/>
      <c r="G92" s="30"/>
      <c r="H92" s="30"/>
      <c r="I92" s="30" t="str">
        <f t="shared" ca="1" si="2"/>
        <v>Not Verified</v>
      </c>
      <c r="J92" s="2"/>
      <c r="K92" s="2"/>
      <c r="L92" s="2"/>
      <c r="M92" s="2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0"/>
      <c r="G93" s="30"/>
      <c r="H93" s="30"/>
      <c r="I93" s="30" t="str">
        <f t="shared" ca="1" si="2"/>
        <v>Not Verified</v>
      </c>
      <c r="J93" s="2"/>
      <c r="K93" s="2"/>
      <c r="L93" s="2"/>
      <c r="M93" s="2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0"/>
      <c r="G94" s="30"/>
      <c r="H94" s="30"/>
      <c r="I94" s="30" t="str">
        <f t="shared" ca="1" si="2"/>
        <v>Not Verified</v>
      </c>
      <c r="J94" s="2"/>
      <c r="K94" s="2"/>
      <c r="L94" s="2"/>
      <c r="M94" s="2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0"/>
      <c r="G95" s="30"/>
      <c r="H95" s="30"/>
      <c r="I95" s="30" t="str">
        <f t="shared" ca="1" si="2"/>
        <v>Not Verified</v>
      </c>
      <c r="J95" s="2"/>
      <c r="K95" s="2"/>
      <c r="L95" s="2"/>
      <c r="M95" s="2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0"/>
      <c r="G96" s="30"/>
      <c r="H96" s="30"/>
      <c r="I96" s="30" t="str">
        <f t="shared" ca="1" si="2"/>
        <v>Not Verified</v>
      </c>
      <c r="J96" s="2"/>
      <c r="K96" s="2"/>
      <c r="L96" s="2"/>
      <c r="M96" s="2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0"/>
      <c r="G97" s="30"/>
      <c r="H97" s="30"/>
      <c r="I97" s="30" t="str">
        <f t="shared" ca="1" si="2"/>
        <v>Not Verified</v>
      </c>
      <c r="J97" s="2"/>
      <c r="K97" s="2"/>
      <c r="L97" s="2"/>
      <c r="M97" s="2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0"/>
      <c r="G98" s="30"/>
      <c r="H98" s="30"/>
      <c r="I98" s="30" t="str">
        <f t="shared" ref="I98:I121" ca="1" si="3">IF(G98="","Not Verified",IF(G98&lt;TODAY(),"Expired",IF(H98="Verified","Current &amp; Verified","Pending Review")))</f>
        <v>Not Verified</v>
      </c>
      <c r="J98" s="2"/>
      <c r="K98" s="2"/>
      <c r="L98" s="2"/>
      <c r="M98" s="2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0"/>
      <c r="G99" s="30"/>
      <c r="H99" s="30"/>
      <c r="I99" s="30" t="str">
        <f t="shared" ca="1" si="3"/>
        <v>Not Verified</v>
      </c>
      <c r="J99" s="2"/>
      <c r="K99" s="2"/>
      <c r="L99" s="2"/>
      <c r="M99" s="2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0"/>
      <c r="G100" s="30"/>
      <c r="H100" s="30"/>
      <c r="I100" s="30" t="str">
        <f t="shared" ca="1" si="3"/>
        <v>Not Verified</v>
      </c>
      <c r="J100" s="2"/>
      <c r="K100" s="2"/>
      <c r="L100" s="2"/>
      <c r="M100" s="2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0"/>
      <c r="G101" s="30"/>
      <c r="H101" s="30"/>
      <c r="I101" s="30" t="str">
        <f t="shared" ca="1" si="3"/>
        <v>Not Verified</v>
      </c>
      <c r="J101" s="2"/>
      <c r="K101" s="2"/>
      <c r="L101" s="2"/>
      <c r="M101" s="2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0"/>
      <c r="G102" s="30"/>
      <c r="H102" s="30"/>
      <c r="I102" s="30" t="str">
        <f t="shared" ca="1" si="3"/>
        <v>Not Verified</v>
      </c>
      <c r="J102" s="2"/>
      <c r="K102" s="2"/>
      <c r="L102" s="2"/>
      <c r="M102" s="2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0"/>
      <c r="G103" s="30"/>
      <c r="H103" s="30"/>
      <c r="I103" s="30" t="str">
        <f t="shared" ca="1" si="3"/>
        <v>Not Verified</v>
      </c>
      <c r="J103" s="2"/>
      <c r="K103" s="2"/>
      <c r="L103" s="2"/>
      <c r="M103" s="2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0"/>
      <c r="G104" s="30"/>
      <c r="H104" s="30"/>
      <c r="I104" s="30" t="str">
        <f t="shared" ca="1" si="3"/>
        <v>Not Verified</v>
      </c>
      <c r="J104" s="2"/>
      <c r="K104" s="2"/>
      <c r="L104" s="2"/>
      <c r="M104" s="2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0"/>
      <c r="G105" s="30"/>
      <c r="H105" s="30"/>
      <c r="I105" s="30" t="str">
        <f t="shared" ca="1" si="3"/>
        <v>Not Verified</v>
      </c>
      <c r="J105" s="2"/>
      <c r="K105" s="2"/>
      <c r="L105" s="2"/>
      <c r="M105" s="2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0"/>
      <c r="G106" s="30"/>
      <c r="H106" s="30"/>
      <c r="I106" s="30" t="str">
        <f t="shared" ca="1" si="3"/>
        <v>Not Verified</v>
      </c>
      <c r="J106" s="2"/>
      <c r="K106" s="2"/>
      <c r="L106" s="2"/>
      <c r="M106" s="2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0"/>
      <c r="G107" s="30"/>
      <c r="H107" s="30"/>
      <c r="I107" s="30" t="str">
        <f t="shared" ca="1" si="3"/>
        <v>Not Verified</v>
      </c>
      <c r="J107" s="2"/>
      <c r="K107" s="2"/>
      <c r="L107" s="2"/>
      <c r="M107" s="2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0"/>
      <c r="G108" s="30"/>
      <c r="H108" s="30"/>
      <c r="I108" s="30" t="str">
        <f t="shared" ca="1" si="3"/>
        <v>Not Verified</v>
      </c>
      <c r="J108" s="2"/>
      <c r="K108" s="2"/>
      <c r="L108" s="2"/>
      <c r="M108" s="2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0"/>
      <c r="G109" s="30"/>
      <c r="H109" s="30"/>
      <c r="I109" s="30" t="str">
        <f t="shared" ca="1" si="3"/>
        <v>Not Verified</v>
      </c>
      <c r="J109" s="2"/>
      <c r="K109" s="2"/>
      <c r="L109" s="2"/>
      <c r="M109" s="2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0"/>
      <c r="G110" s="30"/>
      <c r="H110" s="30"/>
      <c r="I110" s="30" t="str">
        <f t="shared" ca="1" si="3"/>
        <v>Not Verified</v>
      </c>
      <c r="J110" s="2"/>
      <c r="K110" s="2"/>
      <c r="L110" s="2"/>
      <c r="M110" s="2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0"/>
      <c r="G111" s="30"/>
      <c r="H111" s="30"/>
      <c r="I111" s="30" t="str">
        <f t="shared" ca="1" si="3"/>
        <v>Not Verified</v>
      </c>
      <c r="J111" s="2"/>
      <c r="K111" s="2"/>
      <c r="L111" s="2"/>
      <c r="M111" s="2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0"/>
      <c r="G112" s="30"/>
      <c r="H112" s="30"/>
      <c r="I112" s="30" t="str">
        <f t="shared" ca="1" si="3"/>
        <v>Not Verified</v>
      </c>
      <c r="J112" s="2"/>
      <c r="K112" s="2"/>
      <c r="L112" s="2"/>
      <c r="M112" s="2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0"/>
      <c r="G113" s="30"/>
      <c r="H113" s="30"/>
      <c r="I113" s="30" t="str">
        <f t="shared" ca="1" si="3"/>
        <v>Not Verified</v>
      </c>
      <c r="J113" s="2"/>
      <c r="K113" s="2"/>
      <c r="L113" s="2"/>
      <c r="M113" s="2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0"/>
      <c r="G114" s="30"/>
      <c r="H114" s="30"/>
      <c r="I114" s="30" t="str">
        <f t="shared" ca="1" si="3"/>
        <v>Not Verified</v>
      </c>
      <c r="J114" s="2"/>
      <c r="K114" s="2"/>
      <c r="L114" s="2"/>
      <c r="M114" s="2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0"/>
      <c r="G115" s="30"/>
      <c r="H115" s="30"/>
      <c r="I115" s="30" t="str">
        <f t="shared" ca="1" si="3"/>
        <v>Not Verified</v>
      </c>
      <c r="J115" s="2"/>
      <c r="K115" s="2"/>
      <c r="L115" s="2"/>
      <c r="M115" s="2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0"/>
      <c r="G116" s="30"/>
      <c r="H116" s="30"/>
      <c r="I116" s="30" t="str">
        <f t="shared" ca="1" si="3"/>
        <v>Not Verified</v>
      </c>
      <c r="J116" s="2"/>
      <c r="K116" s="2"/>
      <c r="L116" s="2"/>
      <c r="M116" s="2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0"/>
      <c r="G117" s="30"/>
      <c r="H117" s="30"/>
      <c r="I117" s="30" t="str">
        <f t="shared" ca="1" si="3"/>
        <v>Not Verified</v>
      </c>
      <c r="J117" s="2"/>
      <c r="K117" s="2"/>
      <c r="L117" s="2"/>
      <c r="M117" s="2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0"/>
      <c r="G118" s="30"/>
      <c r="H118" s="30"/>
      <c r="I118" s="30" t="str">
        <f t="shared" ca="1" si="3"/>
        <v>Not Verified</v>
      </c>
      <c r="J118" s="2"/>
      <c r="K118" s="2"/>
      <c r="L118" s="2"/>
      <c r="M118" s="2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0"/>
      <c r="G119" s="30"/>
      <c r="H119" s="30"/>
      <c r="I119" s="30" t="str">
        <f t="shared" ca="1" si="3"/>
        <v>Not Verified</v>
      </c>
      <c r="J119" s="2"/>
      <c r="K119" s="2"/>
      <c r="L119" s="2"/>
      <c r="M119" s="2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0"/>
      <c r="G120" s="30"/>
      <c r="H120" s="30"/>
      <c r="I120" s="30" t="str">
        <f t="shared" ca="1" si="3"/>
        <v>Not Verified</v>
      </c>
      <c r="J120" s="2"/>
      <c r="K120" s="2"/>
      <c r="L120" s="2"/>
      <c r="M120" s="2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0"/>
      <c r="G121" s="30"/>
      <c r="H121" s="30"/>
      <c r="I121" s="30" t="str">
        <f t="shared" ca="1" si="3"/>
        <v>Not Verified</v>
      </c>
      <c r="J121" s="2"/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I121">
    <cfRule type="expression" dxfId="20" priority="1">
      <formula>MOD(ROW(),2)=0</formula>
    </cfRule>
  </conditionalFormatting>
  <hyperlinks>
    <hyperlink ref="X1" location="'Cover'!A1" display="Cover" xr:uid="{00000000-0004-0000-0600-000000000000}"/>
    <hyperlink ref="Y1" location="'Index'!A1" display="Index" xr:uid="{00000000-0004-0000-0600-000001000000}"/>
    <hyperlink ref="Z1" location="'Executive Dashboard'!A1" display="Dashboard" xr:uid="{00000000-0004-0000-0600-000002000000}"/>
    <hyperlink ref="AA1" location="'Live KPI Overview'!A1" display="Analytics" xr:uid="{00000000-0004-0000-06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50"/>
  <sheetViews>
    <sheetView showGridLines="0" topLeftCell="E1" workbookViewId="0">
      <pane ySplit="1" topLeftCell="A2" activePane="bottomLeft" state="frozen"/>
      <selection pane="bottomLeft" sqref="A1:M121"/>
    </sheetView>
  </sheetViews>
  <sheetFormatPr defaultRowHeight="13.8"/>
  <cols>
    <col min="1" max="1" width="17" customWidth="1"/>
    <col min="2" max="2" width="34" customWidth="1"/>
    <col min="3" max="4" width="17" customWidth="1"/>
    <col min="5" max="5" width="23" customWidth="1"/>
    <col min="6" max="6" width="19.19921875" customWidth="1"/>
    <col min="7" max="7" width="18.296875" customWidth="1"/>
    <col min="8" max="8" width="23" customWidth="1"/>
    <col min="9" max="9" width="19.19921875" customWidth="1"/>
    <col min="10" max="10" width="18.296875" customWidth="1"/>
    <col min="11" max="11" width="19.19921875" customWidth="1"/>
    <col min="12" max="13" width="17" customWidth="1"/>
    <col min="14" max="21" width="19" customWidth="1"/>
    <col min="24" max="27" width="13" customWidth="1"/>
  </cols>
  <sheetData>
    <row r="1" spans="1:27" ht="34.950000000000003" customHeight="1">
      <c r="A1" s="29" t="s">
        <v>170</v>
      </c>
      <c r="B1" s="29" t="s">
        <v>171</v>
      </c>
      <c r="C1" s="29" t="s">
        <v>172</v>
      </c>
      <c r="D1" s="29" t="s">
        <v>99</v>
      </c>
      <c r="E1" s="29" t="s">
        <v>173</v>
      </c>
      <c r="F1" s="29" t="s">
        <v>174</v>
      </c>
      <c r="G1" s="29" t="s">
        <v>175</v>
      </c>
      <c r="H1" s="29" t="s">
        <v>176</v>
      </c>
      <c r="I1" s="29" t="s">
        <v>177</v>
      </c>
      <c r="J1" s="29" t="s">
        <v>178</v>
      </c>
      <c r="K1" s="29" t="s">
        <v>179</v>
      </c>
      <c r="L1" s="29" t="s">
        <v>180</v>
      </c>
      <c r="M1" s="29" t="s">
        <v>148</v>
      </c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/>
      <c r="B2" s="30"/>
      <c r="C2" s="30"/>
      <c r="D2" s="30"/>
      <c r="E2" s="30"/>
      <c r="F2" s="30"/>
      <c r="G2" s="30" t="str">
        <f t="shared" ref="G2:G33" si="0">IF(OR(E2="",F2=""),"",E2*F2)</f>
        <v/>
      </c>
      <c r="H2" s="30"/>
      <c r="I2" s="30"/>
      <c r="J2" s="30" t="str">
        <f t="shared" ref="J2:J33" si="1">IF(OR(H2="",I2=""),"",H2*I2)</f>
        <v/>
      </c>
      <c r="K2" s="30" t="str">
        <f t="shared" ref="K2:K33" si="2">IF(J2="","",IF(J2&lt;=4,"Low",IF(J2&lt;=9,"Moderate",IF(J2&lt;=16,"High","Critical"))))</f>
        <v/>
      </c>
      <c r="L2" s="30"/>
      <c r="M2" s="30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/>
      <c r="B3" s="30"/>
      <c r="C3" s="30"/>
      <c r="D3" s="30"/>
      <c r="E3" s="30"/>
      <c r="F3" s="30"/>
      <c r="G3" s="30" t="str">
        <f t="shared" si="0"/>
        <v/>
      </c>
      <c r="H3" s="30"/>
      <c r="I3" s="30"/>
      <c r="J3" s="30" t="str">
        <f t="shared" si="1"/>
        <v/>
      </c>
      <c r="K3" s="30" t="str">
        <f t="shared" si="2"/>
        <v/>
      </c>
      <c r="L3" s="30"/>
      <c r="M3" s="30"/>
      <c r="N3" s="2"/>
      <c r="O3" s="2"/>
      <c r="P3" s="2"/>
    </row>
    <row r="4" spans="1:27" ht="22.95" customHeight="1">
      <c r="A4" s="30"/>
      <c r="B4" s="30"/>
      <c r="C4" s="30"/>
      <c r="D4" s="30"/>
      <c r="E4" s="30"/>
      <c r="F4" s="30"/>
      <c r="G4" s="30" t="str">
        <f t="shared" si="0"/>
        <v/>
      </c>
      <c r="H4" s="30"/>
      <c r="I4" s="30"/>
      <c r="J4" s="30" t="str">
        <f t="shared" si="1"/>
        <v/>
      </c>
      <c r="K4" s="30" t="str">
        <f t="shared" si="2"/>
        <v/>
      </c>
      <c r="L4" s="30"/>
      <c r="M4" s="30"/>
      <c r="N4" s="2"/>
      <c r="O4" s="2"/>
      <c r="P4" s="2"/>
    </row>
    <row r="5" spans="1:27" ht="22.95" customHeight="1">
      <c r="A5" s="30"/>
      <c r="B5" s="30"/>
      <c r="C5" s="30"/>
      <c r="D5" s="30"/>
      <c r="E5" s="30"/>
      <c r="F5" s="30"/>
      <c r="G5" s="30" t="str">
        <f t="shared" si="0"/>
        <v/>
      </c>
      <c r="H5" s="30"/>
      <c r="I5" s="30"/>
      <c r="J5" s="30" t="str">
        <f t="shared" si="1"/>
        <v/>
      </c>
      <c r="K5" s="30" t="str">
        <f t="shared" si="2"/>
        <v/>
      </c>
      <c r="L5" s="30"/>
      <c r="M5" s="30"/>
      <c r="N5" s="2"/>
      <c r="O5" s="2"/>
      <c r="P5" s="2"/>
    </row>
    <row r="6" spans="1:27" ht="22.95" customHeight="1">
      <c r="A6" s="30"/>
      <c r="B6" s="30"/>
      <c r="C6" s="30"/>
      <c r="D6" s="30"/>
      <c r="E6" s="30"/>
      <c r="F6" s="30"/>
      <c r="G6" s="30" t="str">
        <f t="shared" si="0"/>
        <v/>
      </c>
      <c r="H6" s="30"/>
      <c r="I6" s="30"/>
      <c r="J6" s="30" t="str">
        <f t="shared" si="1"/>
        <v/>
      </c>
      <c r="K6" s="30" t="str">
        <f t="shared" si="2"/>
        <v/>
      </c>
      <c r="L6" s="30"/>
      <c r="M6" s="30"/>
      <c r="N6" s="2"/>
      <c r="O6" s="2"/>
      <c r="P6" s="2"/>
    </row>
    <row r="7" spans="1:27" ht="22.95" customHeight="1">
      <c r="A7" s="30"/>
      <c r="B7" s="30"/>
      <c r="C7" s="30"/>
      <c r="D7" s="30"/>
      <c r="E7" s="30"/>
      <c r="F7" s="30"/>
      <c r="G7" s="30" t="str">
        <f t="shared" si="0"/>
        <v/>
      </c>
      <c r="H7" s="30"/>
      <c r="I7" s="30"/>
      <c r="J7" s="30" t="str">
        <f t="shared" si="1"/>
        <v/>
      </c>
      <c r="K7" s="30" t="str">
        <f t="shared" si="2"/>
        <v/>
      </c>
      <c r="L7" s="30"/>
      <c r="M7" s="30"/>
      <c r="N7" s="2"/>
      <c r="O7" s="2"/>
      <c r="P7" s="2"/>
    </row>
    <row r="8" spans="1:27" ht="22.95" customHeight="1">
      <c r="A8" s="30"/>
      <c r="B8" s="30"/>
      <c r="C8" s="30"/>
      <c r="D8" s="30"/>
      <c r="E8" s="30"/>
      <c r="F8" s="30"/>
      <c r="G8" s="30" t="str">
        <f t="shared" si="0"/>
        <v/>
      </c>
      <c r="H8" s="30"/>
      <c r="I8" s="30"/>
      <c r="J8" s="30" t="str">
        <f t="shared" si="1"/>
        <v/>
      </c>
      <c r="K8" s="30" t="str">
        <f t="shared" si="2"/>
        <v/>
      </c>
      <c r="L8" s="30"/>
      <c r="M8" s="30"/>
      <c r="N8" s="2"/>
      <c r="O8" s="2"/>
      <c r="P8" s="2"/>
    </row>
    <row r="9" spans="1:27" ht="22.95" customHeight="1">
      <c r="A9" s="30"/>
      <c r="B9" s="30"/>
      <c r="C9" s="30"/>
      <c r="D9" s="30"/>
      <c r="E9" s="30"/>
      <c r="F9" s="30"/>
      <c r="G9" s="30" t="str">
        <f t="shared" si="0"/>
        <v/>
      </c>
      <c r="H9" s="30"/>
      <c r="I9" s="30"/>
      <c r="J9" s="30" t="str">
        <f t="shared" si="1"/>
        <v/>
      </c>
      <c r="K9" s="30" t="str">
        <f t="shared" si="2"/>
        <v/>
      </c>
      <c r="L9" s="30"/>
      <c r="M9" s="30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0"/>
      <c r="G10" s="30" t="str">
        <f t="shared" si="0"/>
        <v/>
      </c>
      <c r="H10" s="30"/>
      <c r="I10" s="30"/>
      <c r="J10" s="30" t="str">
        <f t="shared" si="1"/>
        <v/>
      </c>
      <c r="K10" s="30" t="str">
        <f t="shared" si="2"/>
        <v/>
      </c>
      <c r="L10" s="30"/>
      <c r="M10" s="30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0"/>
      <c r="G11" s="30" t="str">
        <f t="shared" si="0"/>
        <v/>
      </c>
      <c r="H11" s="30"/>
      <c r="I11" s="30"/>
      <c r="J11" s="30" t="str">
        <f t="shared" si="1"/>
        <v/>
      </c>
      <c r="K11" s="30" t="str">
        <f t="shared" si="2"/>
        <v/>
      </c>
      <c r="L11" s="30"/>
      <c r="M11" s="30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0"/>
      <c r="G12" s="30" t="str">
        <f t="shared" si="0"/>
        <v/>
      </c>
      <c r="H12" s="30"/>
      <c r="I12" s="30"/>
      <c r="J12" s="30" t="str">
        <f t="shared" si="1"/>
        <v/>
      </c>
      <c r="K12" s="30" t="str">
        <f t="shared" si="2"/>
        <v/>
      </c>
      <c r="L12" s="30"/>
      <c r="M12" s="30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0"/>
      <c r="G13" s="30" t="str">
        <f t="shared" si="0"/>
        <v/>
      </c>
      <c r="H13" s="30"/>
      <c r="I13" s="30"/>
      <c r="J13" s="30" t="str">
        <f t="shared" si="1"/>
        <v/>
      </c>
      <c r="K13" s="30" t="str">
        <f t="shared" si="2"/>
        <v/>
      </c>
      <c r="L13" s="30"/>
      <c r="M13" s="30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0"/>
      <c r="G14" s="30" t="str">
        <f t="shared" si="0"/>
        <v/>
      </c>
      <c r="H14" s="30"/>
      <c r="I14" s="30"/>
      <c r="J14" s="30" t="str">
        <f t="shared" si="1"/>
        <v/>
      </c>
      <c r="K14" s="30" t="str">
        <f t="shared" si="2"/>
        <v/>
      </c>
      <c r="L14" s="30"/>
      <c r="M14" s="30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0"/>
      <c r="G15" s="30" t="str">
        <f t="shared" si="0"/>
        <v/>
      </c>
      <c r="H15" s="30"/>
      <c r="I15" s="30"/>
      <c r="J15" s="30" t="str">
        <f t="shared" si="1"/>
        <v/>
      </c>
      <c r="K15" s="30" t="str">
        <f t="shared" si="2"/>
        <v/>
      </c>
      <c r="L15" s="30"/>
      <c r="M15" s="30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0"/>
      <c r="G16" s="30" t="str">
        <f t="shared" si="0"/>
        <v/>
      </c>
      <c r="H16" s="30"/>
      <c r="I16" s="30"/>
      <c r="J16" s="30" t="str">
        <f t="shared" si="1"/>
        <v/>
      </c>
      <c r="K16" s="30" t="str">
        <f t="shared" si="2"/>
        <v/>
      </c>
      <c r="L16" s="30"/>
      <c r="M16" s="30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0"/>
      <c r="G17" s="30" t="str">
        <f t="shared" si="0"/>
        <v/>
      </c>
      <c r="H17" s="30"/>
      <c r="I17" s="30"/>
      <c r="J17" s="30" t="str">
        <f t="shared" si="1"/>
        <v/>
      </c>
      <c r="K17" s="30" t="str">
        <f t="shared" si="2"/>
        <v/>
      </c>
      <c r="L17" s="30"/>
      <c r="M17" s="30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0"/>
      <c r="G18" s="30" t="str">
        <f t="shared" si="0"/>
        <v/>
      </c>
      <c r="H18" s="30"/>
      <c r="I18" s="30"/>
      <c r="J18" s="30" t="str">
        <f t="shared" si="1"/>
        <v/>
      </c>
      <c r="K18" s="30" t="str">
        <f t="shared" si="2"/>
        <v/>
      </c>
      <c r="L18" s="30"/>
      <c r="M18" s="30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0"/>
      <c r="G19" s="30" t="str">
        <f t="shared" si="0"/>
        <v/>
      </c>
      <c r="H19" s="30"/>
      <c r="I19" s="30"/>
      <c r="J19" s="30" t="str">
        <f t="shared" si="1"/>
        <v/>
      </c>
      <c r="K19" s="30" t="str">
        <f t="shared" si="2"/>
        <v/>
      </c>
      <c r="L19" s="30"/>
      <c r="M19" s="30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0"/>
      <c r="G20" s="30" t="str">
        <f t="shared" si="0"/>
        <v/>
      </c>
      <c r="H20" s="30"/>
      <c r="I20" s="30"/>
      <c r="J20" s="30" t="str">
        <f t="shared" si="1"/>
        <v/>
      </c>
      <c r="K20" s="30" t="str">
        <f t="shared" si="2"/>
        <v/>
      </c>
      <c r="L20" s="30"/>
      <c r="M20" s="30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0"/>
      <c r="G21" s="30" t="str">
        <f t="shared" si="0"/>
        <v/>
      </c>
      <c r="H21" s="30"/>
      <c r="I21" s="30"/>
      <c r="J21" s="30" t="str">
        <f t="shared" si="1"/>
        <v/>
      </c>
      <c r="K21" s="30" t="str">
        <f t="shared" si="2"/>
        <v/>
      </c>
      <c r="L21" s="30"/>
      <c r="M21" s="30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0"/>
      <c r="G22" s="30" t="str">
        <f t="shared" si="0"/>
        <v/>
      </c>
      <c r="H22" s="30"/>
      <c r="I22" s="30"/>
      <c r="J22" s="30" t="str">
        <f t="shared" si="1"/>
        <v/>
      </c>
      <c r="K22" s="30" t="str">
        <f t="shared" si="2"/>
        <v/>
      </c>
      <c r="L22" s="30"/>
      <c r="M22" s="30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0"/>
      <c r="G23" s="30" t="str">
        <f t="shared" si="0"/>
        <v/>
      </c>
      <c r="H23" s="30"/>
      <c r="I23" s="30"/>
      <c r="J23" s="30" t="str">
        <f t="shared" si="1"/>
        <v/>
      </c>
      <c r="K23" s="30" t="str">
        <f t="shared" si="2"/>
        <v/>
      </c>
      <c r="L23" s="30"/>
      <c r="M23" s="30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0"/>
      <c r="G24" s="30" t="str">
        <f t="shared" si="0"/>
        <v/>
      </c>
      <c r="H24" s="30"/>
      <c r="I24" s="30"/>
      <c r="J24" s="30" t="str">
        <f t="shared" si="1"/>
        <v/>
      </c>
      <c r="K24" s="30" t="str">
        <f t="shared" si="2"/>
        <v/>
      </c>
      <c r="L24" s="30"/>
      <c r="M24" s="30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0"/>
      <c r="G25" s="30" t="str">
        <f t="shared" si="0"/>
        <v/>
      </c>
      <c r="H25" s="30"/>
      <c r="I25" s="30"/>
      <c r="J25" s="30" t="str">
        <f t="shared" si="1"/>
        <v/>
      </c>
      <c r="K25" s="30" t="str">
        <f t="shared" si="2"/>
        <v/>
      </c>
      <c r="L25" s="30"/>
      <c r="M25" s="30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0"/>
      <c r="G26" s="30" t="str">
        <f t="shared" si="0"/>
        <v/>
      </c>
      <c r="H26" s="30"/>
      <c r="I26" s="30"/>
      <c r="J26" s="30" t="str">
        <f t="shared" si="1"/>
        <v/>
      </c>
      <c r="K26" s="30" t="str">
        <f t="shared" si="2"/>
        <v/>
      </c>
      <c r="L26" s="30"/>
      <c r="M26" s="30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0"/>
      <c r="G27" s="30" t="str">
        <f t="shared" si="0"/>
        <v/>
      </c>
      <c r="H27" s="30"/>
      <c r="I27" s="30"/>
      <c r="J27" s="30" t="str">
        <f t="shared" si="1"/>
        <v/>
      </c>
      <c r="K27" s="30" t="str">
        <f t="shared" si="2"/>
        <v/>
      </c>
      <c r="L27" s="30"/>
      <c r="M27" s="30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0"/>
      <c r="G28" s="30" t="str">
        <f t="shared" si="0"/>
        <v/>
      </c>
      <c r="H28" s="30"/>
      <c r="I28" s="30"/>
      <c r="J28" s="30" t="str">
        <f t="shared" si="1"/>
        <v/>
      </c>
      <c r="K28" s="30" t="str">
        <f t="shared" si="2"/>
        <v/>
      </c>
      <c r="L28" s="30"/>
      <c r="M28" s="30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0"/>
      <c r="G29" s="30" t="str">
        <f t="shared" si="0"/>
        <v/>
      </c>
      <c r="H29" s="30"/>
      <c r="I29" s="30"/>
      <c r="J29" s="30" t="str">
        <f t="shared" si="1"/>
        <v/>
      </c>
      <c r="K29" s="30" t="str">
        <f t="shared" si="2"/>
        <v/>
      </c>
      <c r="L29" s="30"/>
      <c r="M29" s="30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0"/>
      <c r="G30" s="30" t="str">
        <f t="shared" si="0"/>
        <v/>
      </c>
      <c r="H30" s="30"/>
      <c r="I30" s="30"/>
      <c r="J30" s="30" t="str">
        <f t="shared" si="1"/>
        <v/>
      </c>
      <c r="K30" s="30" t="str">
        <f t="shared" si="2"/>
        <v/>
      </c>
      <c r="L30" s="30"/>
      <c r="M30" s="30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0"/>
      <c r="G31" s="30" t="str">
        <f t="shared" si="0"/>
        <v/>
      </c>
      <c r="H31" s="30"/>
      <c r="I31" s="30"/>
      <c r="J31" s="30" t="str">
        <f t="shared" si="1"/>
        <v/>
      </c>
      <c r="K31" s="30" t="str">
        <f t="shared" si="2"/>
        <v/>
      </c>
      <c r="L31" s="30"/>
      <c r="M31" s="30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0"/>
      <c r="G32" s="30" t="str">
        <f t="shared" si="0"/>
        <v/>
      </c>
      <c r="H32" s="30"/>
      <c r="I32" s="30"/>
      <c r="J32" s="30" t="str">
        <f t="shared" si="1"/>
        <v/>
      </c>
      <c r="K32" s="30" t="str">
        <f t="shared" si="2"/>
        <v/>
      </c>
      <c r="L32" s="30"/>
      <c r="M32" s="30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0"/>
      <c r="G33" s="30" t="str">
        <f t="shared" si="0"/>
        <v/>
      </c>
      <c r="H33" s="30"/>
      <c r="I33" s="30"/>
      <c r="J33" s="30" t="str">
        <f t="shared" si="1"/>
        <v/>
      </c>
      <c r="K33" s="30" t="str">
        <f t="shared" si="2"/>
        <v/>
      </c>
      <c r="L33" s="30"/>
      <c r="M33" s="30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0"/>
      <c r="G34" s="30" t="str">
        <f t="shared" ref="G34:G65" si="3">IF(OR(E34="",F34=""),"",E34*F34)</f>
        <v/>
      </c>
      <c r="H34" s="30"/>
      <c r="I34" s="30"/>
      <c r="J34" s="30" t="str">
        <f t="shared" ref="J34:J65" si="4">IF(OR(H34="",I34=""),"",H34*I34)</f>
        <v/>
      </c>
      <c r="K34" s="30" t="str">
        <f t="shared" ref="K34:K65" si="5">IF(J34="","",IF(J34&lt;=4,"Low",IF(J34&lt;=9,"Moderate",IF(J34&lt;=16,"High","Critical"))))</f>
        <v/>
      </c>
      <c r="L34" s="30"/>
      <c r="M34" s="30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0"/>
      <c r="G35" s="30" t="str">
        <f t="shared" si="3"/>
        <v/>
      </c>
      <c r="H35" s="30"/>
      <c r="I35" s="30"/>
      <c r="J35" s="30" t="str">
        <f t="shared" si="4"/>
        <v/>
      </c>
      <c r="K35" s="30" t="str">
        <f t="shared" si="5"/>
        <v/>
      </c>
      <c r="L35" s="30"/>
      <c r="M35" s="30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0"/>
      <c r="G36" s="30" t="str">
        <f t="shared" si="3"/>
        <v/>
      </c>
      <c r="H36" s="30"/>
      <c r="I36" s="30"/>
      <c r="J36" s="30" t="str">
        <f t="shared" si="4"/>
        <v/>
      </c>
      <c r="K36" s="30" t="str">
        <f t="shared" si="5"/>
        <v/>
      </c>
      <c r="L36" s="30"/>
      <c r="M36" s="30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0"/>
      <c r="G37" s="30" t="str">
        <f t="shared" si="3"/>
        <v/>
      </c>
      <c r="H37" s="30"/>
      <c r="I37" s="30"/>
      <c r="J37" s="30" t="str">
        <f t="shared" si="4"/>
        <v/>
      </c>
      <c r="K37" s="30" t="str">
        <f t="shared" si="5"/>
        <v/>
      </c>
      <c r="L37" s="30"/>
      <c r="M37" s="30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0"/>
      <c r="G38" s="30" t="str">
        <f t="shared" si="3"/>
        <v/>
      </c>
      <c r="H38" s="30"/>
      <c r="I38" s="30"/>
      <c r="J38" s="30" t="str">
        <f t="shared" si="4"/>
        <v/>
      </c>
      <c r="K38" s="30" t="str">
        <f t="shared" si="5"/>
        <v/>
      </c>
      <c r="L38" s="30"/>
      <c r="M38" s="30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0"/>
      <c r="G39" s="30" t="str">
        <f t="shared" si="3"/>
        <v/>
      </c>
      <c r="H39" s="30"/>
      <c r="I39" s="30"/>
      <c r="J39" s="30" t="str">
        <f t="shared" si="4"/>
        <v/>
      </c>
      <c r="K39" s="30" t="str">
        <f t="shared" si="5"/>
        <v/>
      </c>
      <c r="L39" s="30"/>
      <c r="M39" s="30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0"/>
      <c r="G40" s="30" t="str">
        <f t="shared" si="3"/>
        <v/>
      </c>
      <c r="H40" s="30"/>
      <c r="I40" s="30"/>
      <c r="J40" s="30" t="str">
        <f t="shared" si="4"/>
        <v/>
      </c>
      <c r="K40" s="30" t="str">
        <f t="shared" si="5"/>
        <v/>
      </c>
      <c r="L40" s="30"/>
      <c r="M40" s="30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0"/>
      <c r="G41" s="30" t="str">
        <f t="shared" si="3"/>
        <v/>
      </c>
      <c r="H41" s="30"/>
      <c r="I41" s="30"/>
      <c r="J41" s="30" t="str">
        <f t="shared" si="4"/>
        <v/>
      </c>
      <c r="K41" s="30" t="str">
        <f t="shared" si="5"/>
        <v/>
      </c>
      <c r="L41" s="30"/>
      <c r="M41" s="30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0"/>
      <c r="G42" s="30" t="str">
        <f t="shared" si="3"/>
        <v/>
      </c>
      <c r="H42" s="30"/>
      <c r="I42" s="30"/>
      <c r="J42" s="30" t="str">
        <f t="shared" si="4"/>
        <v/>
      </c>
      <c r="K42" s="30" t="str">
        <f t="shared" si="5"/>
        <v/>
      </c>
      <c r="L42" s="30"/>
      <c r="M42" s="30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0"/>
      <c r="G43" s="30" t="str">
        <f t="shared" si="3"/>
        <v/>
      </c>
      <c r="H43" s="30"/>
      <c r="I43" s="30"/>
      <c r="J43" s="30" t="str">
        <f t="shared" si="4"/>
        <v/>
      </c>
      <c r="K43" s="30" t="str">
        <f t="shared" si="5"/>
        <v/>
      </c>
      <c r="L43" s="30"/>
      <c r="M43" s="30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0"/>
      <c r="G44" s="30" t="str">
        <f t="shared" si="3"/>
        <v/>
      </c>
      <c r="H44" s="30"/>
      <c r="I44" s="30"/>
      <c r="J44" s="30" t="str">
        <f t="shared" si="4"/>
        <v/>
      </c>
      <c r="K44" s="30" t="str">
        <f t="shared" si="5"/>
        <v/>
      </c>
      <c r="L44" s="30"/>
      <c r="M44" s="30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0"/>
      <c r="G45" s="30" t="str">
        <f t="shared" si="3"/>
        <v/>
      </c>
      <c r="H45" s="30"/>
      <c r="I45" s="30"/>
      <c r="J45" s="30" t="str">
        <f t="shared" si="4"/>
        <v/>
      </c>
      <c r="K45" s="30" t="str">
        <f t="shared" si="5"/>
        <v/>
      </c>
      <c r="L45" s="30"/>
      <c r="M45" s="30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0"/>
      <c r="G46" s="30" t="str">
        <f t="shared" si="3"/>
        <v/>
      </c>
      <c r="H46" s="30"/>
      <c r="I46" s="30"/>
      <c r="J46" s="30" t="str">
        <f t="shared" si="4"/>
        <v/>
      </c>
      <c r="K46" s="30" t="str">
        <f t="shared" si="5"/>
        <v/>
      </c>
      <c r="L46" s="30"/>
      <c r="M46" s="30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0"/>
      <c r="G47" s="30" t="str">
        <f t="shared" si="3"/>
        <v/>
      </c>
      <c r="H47" s="30"/>
      <c r="I47" s="30"/>
      <c r="J47" s="30" t="str">
        <f t="shared" si="4"/>
        <v/>
      </c>
      <c r="K47" s="30" t="str">
        <f t="shared" si="5"/>
        <v/>
      </c>
      <c r="L47" s="30"/>
      <c r="M47" s="30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0"/>
      <c r="G48" s="30" t="str">
        <f t="shared" si="3"/>
        <v/>
      </c>
      <c r="H48" s="30"/>
      <c r="I48" s="30"/>
      <c r="J48" s="30" t="str">
        <f t="shared" si="4"/>
        <v/>
      </c>
      <c r="K48" s="30" t="str">
        <f t="shared" si="5"/>
        <v/>
      </c>
      <c r="L48" s="30"/>
      <c r="M48" s="30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0"/>
      <c r="G49" s="30" t="str">
        <f t="shared" si="3"/>
        <v/>
      </c>
      <c r="H49" s="30"/>
      <c r="I49" s="30"/>
      <c r="J49" s="30" t="str">
        <f t="shared" si="4"/>
        <v/>
      </c>
      <c r="K49" s="30" t="str">
        <f t="shared" si="5"/>
        <v/>
      </c>
      <c r="L49" s="30"/>
      <c r="M49" s="30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0"/>
      <c r="G50" s="30" t="str">
        <f t="shared" si="3"/>
        <v/>
      </c>
      <c r="H50" s="30"/>
      <c r="I50" s="30"/>
      <c r="J50" s="30" t="str">
        <f t="shared" si="4"/>
        <v/>
      </c>
      <c r="K50" s="30" t="str">
        <f t="shared" si="5"/>
        <v/>
      </c>
      <c r="L50" s="30"/>
      <c r="M50" s="30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0"/>
      <c r="G51" s="30" t="str">
        <f t="shared" si="3"/>
        <v/>
      </c>
      <c r="H51" s="30"/>
      <c r="I51" s="30"/>
      <c r="J51" s="30" t="str">
        <f t="shared" si="4"/>
        <v/>
      </c>
      <c r="K51" s="30" t="str">
        <f t="shared" si="5"/>
        <v/>
      </c>
      <c r="L51" s="30"/>
      <c r="M51" s="30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0"/>
      <c r="G52" s="30" t="str">
        <f t="shared" si="3"/>
        <v/>
      </c>
      <c r="H52" s="30"/>
      <c r="I52" s="30"/>
      <c r="J52" s="30" t="str">
        <f t="shared" si="4"/>
        <v/>
      </c>
      <c r="K52" s="30" t="str">
        <f t="shared" si="5"/>
        <v/>
      </c>
      <c r="L52" s="30"/>
      <c r="M52" s="30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0"/>
      <c r="G53" s="30" t="str">
        <f t="shared" si="3"/>
        <v/>
      </c>
      <c r="H53" s="30"/>
      <c r="I53" s="30"/>
      <c r="J53" s="30" t="str">
        <f t="shared" si="4"/>
        <v/>
      </c>
      <c r="K53" s="30" t="str">
        <f t="shared" si="5"/>
        <v/>
      </c>
      <c r="L53" s="30"/>
      <c r="M53" s="30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0"/>
      <c r="G54" s="30" t="str">
        <f t="shared" si="3"/>
        <v/>
      </c>
      <c r="H54" s="30"/>
      <c r="I54" s="30"/>
      <c r="J54" s="30" t="str">
        <f t="shared" si="4"/>
        <v/>
      </c>
      <c r="K54" s="30" t="str">
        <f t="shared" si="5"/>
        <v/>
      </c>
      <c r="L54" s="30"/>
      <c r="M54" s="30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0"/>
      <c r="G55" s="30" t="str">
        <f t="shared" si="3"/>
        <v/>
      </c>
      <c r="H55" s="30"/>
      <c r="I55" s="30"/>
      <c r="J55" s="30" t="str">
        <f t="shared" si="4"/>
        <v/>
      </c>
      <c r="K55" s="30" t="str">
        <f t="shared" si="5"/>
        <v/>
      </c>
      <c r="L55" s="30"/>
      <c r="M55" s="30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0"/>
      <c r="G56" s="30" t="str">
        <f t="shared" si="3"/>
        <v/>
      </c>
      <c r="H56" s="30"/>
      <c r="I56" s="30"/>
      <c r="J56" s="30" t="str">
        <f t="shared" si="4"/>
        <v/>
      </c>
      <c r="K56" s="30" t="str">
        <f t="shared" si="5"/>
        <v/>
      </c>
      <c r="L56" s="30"/>
      <c r="M56" s="30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0"/>
      <c r="G57" s="30" t="str">
        <f t="shared" si="3"/>
        <v/>
      </c>
      <c r="H57" s="30"/>
      <c r="I57" s="30"/>
      <c r="J57" s="30" t="str">
        <f t="shared" si="4"/>
        <v/>
      </c>
      <c r="K57" s="30" t="str">
        <f t="shared" si="5"/>
        <v/>
      </c>
      <c r="L57" s="30"/>
      <c r="M57" s="30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0"/>
      <c r="G58" s="30" t="str">
        <f t="shared" si="3"/>
        <v/>
      </c>
      <c r="H58" s="30"/>
      <c r="I58" s="30"/>
      <c r="J58" s="30" t="str">
        <f t="shared" si="4"/>
        <v/>
      </c>
      <c r="K58" s="30" t="str">
        <f t="shared" si="5"/>
        <v/>
      </c>
      <c r="L58" s="30"/>
      <c r="M58" s="30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0"/>
      <c r="G59" s="30" t="str">
        <f t="shared" si="3"/>
        <v/>
      </c>
      <c r="H59" s="30"/>
      <c r="I59" s="30"/>
      <c r="J59" s="30" t="str">
        <f t="shared" si="4"/>
        <v/>
      </c>
      <c r="K59" s="30" t="str">
        <f t="shared" si="5"/>
        <v/>
      </c>
      <c r="L59" s="30"/>
      <c r="M59" s="30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0"/>
      <c r="G60" s="30" t="str">
        <f t="shared" si="3"/>
        <v/>
      </c>
      <c r="H60" s="30"/>
      <c r="I60" s="30"/>
      <c r="J60" s="30" t="str">
        <f t="shared" si="4"/>
        <v/>
      </c>
      <c r="K60" s="30" t="str">
        <f t="shared" si="5"/>
        <v/>
      </c>
      <c r="L60" s="30"/>
      <c r="M60" s="30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0"/>
      <c r="G61" s="30" t="str">
        <f t="shared" si="3"/>
        <v/>
      </c>
      <c r="H61" s="30"/>
      <c r="I61" s="30"/>
      <c r="J61" s="30" t="str">
        <f t="shared" si="4"/>
        <v/>
      </c>
      <c r="K61" s="30" t="str">
        <f t="shared" si="5"/>
        <v/>
      </c>
      <c r="L61" s="30"/>
      <c r="M61" s="30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0"/>
      <c r="G62" s="30" t="str">
        <f t="shared" si="3"/>
        <v/>
      </c>
      <c r="H62" s="30"/>
      <c r="I62" s="30"/>
      <c r="J62" s="30" t="str">
        <f t="shared" si="4"/>
        <v/>
      </c>
      <c r="K62" s="30" t="str">
        <f t="shared" si="5"/>
        <v/>
      </c>
      <c r="L62" s="30"/>
      <c r="M62" s="30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0"/>
      <c r="G63" s="30" t="str">
        <f t="shared" si="3"/>
        <v/>
      </c>
      <c r="H63" s="30"/>
      <c r="I63" s="30"/>
      <c r="J63" s="30" t="str">
        <f t="shared" si="4"/>
        <v/>
      </c>
      <c r="K63" s="30" t="str">
        <f t="shared" si="5"/>
        <v/>
      </c>
      <c r="L63" s="30"/>
      <c r="M63" s="30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0"/>
      <c r="G64" s="30" t="str">
        <f t="shared" si="3"/>
        <v/>
      </c>
      <c r="H64" s="30"/>
      <c r="I64" s="30"/>
      <c r="J64" s="30" t="str">
        <f t="shared" si="4"/>
        <v/>
      </c>
      <c r="K64" s="30" t="str">
        <f t="shared" si="5"/>
        <v/>
      </c>
      <c r="L64" s="30"/>
      <c r="M64" s="30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0"/>
      <c r="G65" s="30" t="str">
        <f t="shared" si="3"/>
        <v/>
      </c>
      <c r="H65" s="30"/>
      <c r="I65" s="30"/>
      <c r="J65" s="30" t="str">
        <f t="shared" si="4"/>
        <v/>
      </c>
      <c r="K65" s="30" t="str">
        <f t="shared" si="5"/>
        <v/>
      </c>
      <c r="L65" s="30"/>
      <c r="M65" s="30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0"/>
      <c r="G66" s="30" t="str">
        <f t="shared" ref="G66:G97" si="6">IF(OR(E66="",F66=""),"",E66*F66)</f>
        <v/>
      </c>
      <c r="H66" s="30"/>
      <c r="I66" s="30"/>
      <c r="J66" s="30" t="str">
        <f t="shared" ref="J66:J97" si="7">IF(OR(H66="",I66=""),"",H66*I66)</f>
        <v/>
      </c>
      <c r="K66" s="30" t="str">
        <f t="shared" ref="K66:K97" si="8">IF(J66="","",IF(J66&lt;=4,"Low",IF(J66&lt;=9,"Moderate",IF(J66&lt;=16,"High","Critical"))))</f>
        <v/>
      </c>
      <c r="L66" s="30"/>
      <c r="M66" s="30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0"/>
      <c r="G67" s="30" t="str">
        <f t="shared" si="6"/>
        <v/>
      </c>
      <c r="H67" s="30"/>
      <c r="I67" s="30"/>
      <c r="J67" s="30" t="str">
        <f t="shared" si="7"/>
        <v/>
      </c>
      <c r="K67" s="30" t="str">
        <f t="shared" si="8"/>
        <v/>
      </c>
      <c r="L67" s="30"/>
      <c r="M67" s="30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0"/>
      <c r="G68" s="30" t="str">
        <f t="shared" si="6"/>
        <v/>
      </c>
      <c r="H68" s="30"/>
      <c r="I68" s="30"/>
      <c r="J68" s="30" t="str">
        <f t="shared" si="7"/>
        <v/>
      </c>
      <c r="K68" s="30" t="str">
        <f t="shared" si="8"/>
        <v/>
      </c>
      <c r="L68" s="30"/>
      <c r="M68" s="30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0"/>
      <c r="G69" s="30" t="str">
        <f t="shared" si="6"/>
        <v/>
      </c>
      <c r="H69" s="30"/>
      <c r="I69" s="30"/>
      <c r="J69" s="30" t="str">
        <f t="shared" si="7"/>
        <v/>
      </c>
      <c r="K69" s="30" t="str">
        <f t="shared" si="8"/>
        <v/>
      </c>
      <c r="L69" s="30"/>
      <c r="M69" s="30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0"/>
      <c r="G70" s="30" t="str">
        <f t="shared" si="6"/>
        <v/>
      </c>
      <c r="H70" s="30"/>
      <c r="I70" s="30"/>
      <c r="J70" s="30" t="str">
        <f t="shared" si="7"/>
        <v/>
      </c>
      <c r="K70" s="30" t="str">
        <f t="shared" si="8"/>
        <v/>
      </c>
      <c r="L70" s="30"/>
      <c r="M70" s="30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0"/>
      <c r="G71" s="30" t="str">
        <f t="shared" si="6"/>
        <v/>
      </c>
      <c r="H71" s="30"/>
      <c r="I71" s="30"/>
      <c r="J71" s="30" t="str">
        <f t="shared" si="7"/>
        <v/>
      </c>
      <c r="K71" s="30" t="str">
        <f t="shared" si="8"/>
        <v/>
      </c>
      <c r="L71" s="30"/>
      <c r="M71" s="30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0"/>
      <c r="G72" s="30" t="str">
        <f t="shared" si="6"/>
        <v/>
      </c>
      <c r="H72" s="30"/>
      <c r="I72" s="30"/>
      <c r="J72" s="30" t="str">
        <f t="shared" si="7"/>
        <v/>
      </c>
      <c r="K72" s="30" t="str">
        <f t="shared" si="8"/>
        <v/>
      </c>
      <c r="L72" s="30"/>
      <c r="M72" s="30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0"/>
      <c r="G73" s="30" t="str">
        <f t="shared" si="6"/>
        <v/>
      </c>
      <c r="H73" s="30"/>
      <c r="I73" s="30"/>
      <c r="J73" s="30" t="str">
        <f t="shared" si="7"/>
        <v/>
      </c>
      <c r="K73" s="30" t="str">
        <f t="shared" si="8"/>
        <v/>
      </c>
      <c r="L73" s="30"/>
      <c r="M73" s="30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0"/>
      <c r="G74" s="30" t="str">
        <f t="shared" si="6"/>
        <v/>
      </c>
      <c r="H74" s="30"/>
      <c r="I74" s="30"/>
      <c r="J74" s="30" t="str">
        <f t="shared" si="7"/>
        <v/>
      </c>
      <c r="K74" s="30" t="str">
        <f t="shared" si="8"/>
        <v/>
      </c>
      <c r="L74" s="30"/>
      <c r="M74" s="30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0"/>
      <c r="G75" s="30" t="str">
        <f t="shared" si="6"/>
        <v/>
      </c>
      <c r="H75" s="30"/>
      <c r="I75" s="30"/>
      <c r="J75" s="30" t="str">
        <f t="shared" si="7"/>
        <v/>
      </c>
      <c r="K75" s="30" t="str">
        <f t="shared" si="8"/>
        <v/>
      </c>
      <c r="L75" s="30"/>
      <c r="M75" s="30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0"/>
      <c r="G76" s="30" t="str">
        <f t="shared" si="6"/>
        <v/>
      </c>
      <c r="H76" s="30"/>
      <c r="I76" s="30"/>
      <c r="J76" s="30" t="str">
        <f t="shared" si="7"/>
        <v/>
      </c>
      <c r="K76" s="30" t="str">
        <f t="shared" si="8"/>
        <v/>
      </c>
      <c r="L76" s="30"/>
      <c r="M76" s="30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0"/>
      <c r="G77" s="30" t="str">
        <f t="shared" si="6"/>
        <v/>
      </c>
      <c r="H77" s="30"/>
      <c r="I77" s="30"/>
      <c r="J77" s="30" t="str">
        <f t="shared" si="7"/>
        <v/>
      </c>
      <c r="K77" s="30" t="str">
        <f t="shared" si="8"/>
        <v/>
      </c>
      <c r="L77" s="30"/>
      <c r="M77" s="30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0"/>
      <c r="G78" s="30" t="str">
        <f t="shared" si="6"/>
        <v/>
      </c>
      <c r="H78" s="30"/>
      <c r="I78" s="30"/>
      <c r="J78" s="30" t="str">
        <f t="shared" si="7"/>
        <v/>
      </c>
      <c r="K78" s="30" t="str">
        <f t="shared" si="8"/>
        <v/>
      </c>
      <c r="L78" s="30"/>
      <c r="M78" s="30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0"/>
      <c r="G79" s="30" t="str">
        <f t="shared" si="6"/>
        <v/>
      </c>
      <c r="H79" s="30"/>
      <c r="I79" s="30"/>
      <c r="J79" s="30" t="str">
        <f t="shared" si="7"/>
        <v/>
      </c>
      <c r="K79" s="30" t="str">
        <f t="shared" si="8"/>
        <v/>
      </c>
      <c r="L79" s="30"/>
      <c r="M79" s="30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0"/>
      <c r="G80" s="30" t="str">
        <f t="shared" si="6"/>
        <v/>
      </c>
      <c r="H80" s="30"/>
      <c r="I80" s="30"/>
      <c r="J80" s="30" t="str">
        <f t="shared" si="7"/>
        <v/>
      </c>
      <c r="K80" s="30" t="str">
        <f t="shared" si="8"/>
        <v/>
      </c>
      <c r="L80" s="30"/>
      <c r="M80" s="30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0"/>
      <c r="G81" s="30" t="str">
        <f t="shared" si="6"/>
        <v/>
      </c>
      <c r="H81" s="30"/>
      <c r="I81" s="30"/>
      <c r="J81" s="30" t="str">
        <f t="shared" si="7"/>
        <v/>
      </c>
      <c r="K81" s="30" t="str">
        <f t="shared" si="8"/>
        <v/>
      </c>
      <c r="L81" s="30"/>
      <c r="M81" s="30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0"/>
      <c r="G82" s="30" t="str">
        <f t="shared" si="6"/>
        <v/>
      </c>
      <c r="H82" s="30"/>
      <c r="I82" s="30"/>
      <c r="J82" s="30" t="str">
        <f t="shared" si="7"/>
        <v/>
      </c>
      <c r="K82" s="30" t="str">
        <f t="shared" si="8"/>
        <v/>
      </c>
      <c r="L82" s="30"/>
      <c r="M82" s="30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0"/>
      <c r="G83" s="30" t="str">
        <f t="shared" si="6"/>
        <v/>
      </c>
      <c r="H83" s="30"/>
      <c r="I83" s="30"/>
      <c r="J83" s="30" t="str">
        <f t="shared" si="7"/>
        <v/>
      </c>
      <c r="K83" s="30" t="str">
        <f t="shared" si="8"/>
        <v/>
      </c>
      <c r="L83" s="30"/>
      <c r="M83" s="30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0"/>
      <c r="G84" s="30" t="str">
        <f t="shared" si="6"/>
        <v/>
      </c>
      <c r="H84" s="30"/>
      <c r="I84" s="30"/>
      <c r="J84" s="30" t="str">
        <f t="shared" si="7"/>
        <v/>
      </c>
      <c r="K84" s="30" t="str">
        <f t="shared" si="8"/>
        <v/>
      </c>
      <c r="L84" s="30"/>
      <c r="M84" s="30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0"/>
      <c r="G85" s="30" t="str">
        <f t="shared" si="6"/>
        <v/>
      </c>
      <c r="H85" s="30"/>
      <c r="I85" s="30"/>
      <c r="J85" s="30" t="str">
        <f t="shared" si="7"/>
        <v/>
      </c>
      <c r="K85" s="30" t="str">
        <f t="shared" si="8"/>
        <v/>
      </c>
      <c r="L85" s="30"/>
      <c r="M85" s="30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0"/>
      <c r="G86" s="30" t="str">
        <f t="shared" si="6"/>
        <v/>
      </c>
      <c r="H86" s="30"/>
      <c r="I86" s="30"/>
      <c r="J86" s="30" t="str">
        <f t="shared" si="7"/>
        <v/>
      </c>
      <c r="K86" s="30" t="str">
        <f t="shared" si="8"/>
        <v/>
      </c>
      <c r="L86" s="30"/>
      <c r="M86" s="30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0"/>
      <c r="G87" s="30" t="str">
        <f t="shared" si="6"/>
        <v/>
      </c>
      <c r="H87" s="30"/>
      <c r="I87" s="30"/>
      <c r="J87" s="30" t="str">
        <f t="shared" si="7"/>
        <v/>
      </c>
      <c r="K87" s="30" t="str">
        <f t="shared" si="8"/>
        <v/>
      </c>
      <c r="L87" s="30"/>
      <c r="M87" s="30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0"/>
      <c r="G88" s="30" t="str">
        <f t="shared" si="6"/>
        <v/>
      </c>
      <c r="H88" s="30"/>
      <c r="I88" s="30"/>
      <c r="J88" s="30" t="str">
        <f t="shared" si="7"/>
        <v/>
      </c>
      <c r="K88" s="30" t="str">
        <f t="shared" si="8"/>
        <v/>
      </c>
      <c r="L88" s="30"/>
      <c r="M88" s="30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0"/>
      <c r="G89" s="30" t="str">
        <f t="shared" si="6"/>
        <v/>
      </c>
      <c r="H89" s="30"/>
      <c r="I89" s="30"/>
      <c r="J89" s="30" t="str">
        <f t="shared" si="7"/>
        <v/>
      </c>
      <c r="K89" s="30" t="str">
        <f t="shared" si="8"/>
        <v/>
      </c>
      <c r="L89" s="30"/>
      <c r="M89" s="30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0"/>
      <c r="G90" s="30" t="str">
        <f t="shared" si="6"/>
        <v/>
      </c>
      <c r="H90" s="30"/>
      <c r="I90" s="30"/>
      <c r="J90" s="30" t="str">
        <f t="shared" si="7"/>
        <v/>
      </c>
      <c r="K90" s="30" t="str">
        <f t="shared" si="8"/>
        <v/>
      </c>
      <c r="L90" s="30"/>
      <c r="M90" s="30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0"/>
      <c r="G91" s="30" t="str">
        <f t="shared" si="6"/>
        <v/>
      </c>
      <c r="H91" s="30"/>
      <c r="I91" s="30"/>
      <c r="J91" s="30" t="str">
        <f t="shared" si="7"/>
        <v/>
      </c>
      <c r="K91" s="30" t="str">
        <f t="shared" si="8"/>
        <v/>
      </c>
      <c r="L91" s="30"/>
      <c r="M91" s="30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0"/>
      <c r="G92" s="30" t="str">
        <f t="shared" si="6"/>
        <v/>
      </c>
      <c r="H92" s="30"/>
      <c r="I92" s="30"/>
      <c r="J92" s="30" t="str">
        <f t="shared" si="7"/>
        <v/>
      </c>
      <c r="K92" s="30" t="str">
        <f t="shared" si="8"/>
        <v/>
      </c>
      <c r="L92" s="30"/>
      <c r="M92" s="30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0"/>
      <c r="G93" s="30" t="str">
        <f t="shared" si="6"/>
        <v/>
      </c>
      <c r="H93" s="30"/>
      <c r="I93" s="30"/>
      <c r="J93" s="30" t="str">
        <f t="shared" si="7"/>
        <v/>
      </c>
      <c r="K93" s="30" t="str">
        <f t="shared" si="8"/>
        <v/>
      </c>
      <c r="L93" s="30"/>
      <c r="M93" s="30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0"/>
      <c r="G94" s="30" t="str">
        <f t="shared" si="6"/>
        <v/>
      </c>
      <c r="H94" s="30"/>
      <c r="I94" s="30"/>
      <c r="J94" s="30" t="str">
        <f t="shared" si="7"/>
        <v/>
      </c>
      <c r="K94" s="30" t="str">
        <f t="shared" si="8"/>
        <v/>
      </c>
      <c r="L94" s="30"/>
      <c r="M94" s="30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0"/>
      <c r="G95" s="30" t="str">
        <f t="shared" si="6"/>
        <v/>
      </c>
      <c r="H95" s="30"/>
      <c r="I95" s="30"/>
      <c r="J95" s="30" t="str">
        <f t="shared" si="7"/>
        <v/>
      </c>
      <c r="K95" s="30" t="str">
        <f t="shared" si="8"/>
        <v/>
      </c>
      <c r="L95" s="30"/>
      <c r="M95" s="30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0"/>
      <c r="G96" s="30" t="str">
        <f t="shared" si="6"/>
        <v/>
      </c>
      <c r="H96" s="30"/>
      <c r="I96" s="30"/>
      <c r="J96" s="30" t="str">
        <f t="shared" si="7"/>
        <v/>
      </c>
      <c r="K96" s="30" t="str">
        <f t="shared" si="8"/>
        <v/>
      </c>
      <c r="L96" s="30"/>
      <c r="M96" s="30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0"/>
      <c r="G97" s="30" t="str">
        <f t="shared" si="6"/>
        <v/>
      </c>
      <c r="H97" s="30"/>
      <c r="I97" s="30"/>
      <c r="J97" s="30" t="str">
        <f t="shared" si="7"/>
        <v/>
      </c>
      <c r="K97" s="30" t="str">
        <f t="shared" si="8"/>
        <v/>
      </c>
      <c r="L97" s="30"/>
      <c r="M97" s="30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0"/>
      <c r="G98" s="30" t="str">
        <f t="shared" ref="G98:G121" si="9">IF(OR(E98="",F98=""),"",E98*F98)</f>
        <v/>
      </c>
      <c r="H98" s="30"/>
      <c r="I98" s="30"/>
      <c r="J98" s="30" t="str">
        <f t="shared" ref="J98:J121" si="10">IF(OR(H98="",I98=""),"",H98*I98)</f>
        <v/>
      </c>
      <c r="K98" s="30" t="str">
        <f t="shared" ref="K98:K121" si="11">IF(J98="","",IF(J98&lt;=4,"Low",IF(J98&lt;=9,"Moderate",IF(J98&lt;=16,"High","Critical"))))</f>
        <v/>
      </c>
      <c r="L98" s="30"/>
      <c r="M98" s="30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0"/>
      <c r="G99" s="30" t="str">
        <f t="shared" si="9"/>
        <v/>
      </c>
      <c r="H99" s="30"/>
      <c r="I99" s="30"/>
      <c r="J99" s="30" t="str">
        <f t="shared" si="10"/>
        <v/>
      </c>
      <c r="K99" s="30" t="str">
        <f t="shared" si="11"/>
        <v/>
      </c>
      <c r="L99" s="30"/>
      <c r="M99" s="30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0"/>
      <c r="G100" s="30" t="str">
        <f t="shared" si="9"/>
        <v/>
      </c>
      <c r="H100" s="30"/>
      <c r="I100" s="30"/>
      <c r="J100" s="30" t="str">
        <f t="shared" si="10"/>
        <v/>
      </c>
      <c r="K100" s="30" t="str">
        <f t="shared" si="11"/>
        <v/>
      </c>
      <c r="L100" s="30"/>
      <c r="M100" s="30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0"/>
      <c r="G101" s="30" t="str">
        <f t="shared" si="9"/>
        <v/>
      </c>
      <c r="H101" s="30"/>
      <c r="I101" s="30"/>
      <c r="J101" s="30" t="str">
        <f t="shared" si="10"/>
        <v/>
      </c>
      <c r="K101" s="30" t="str">
        <f t="shared" si="11"/>
        <v/>
      </c>
      <c r="L101" s="30"/>
      <c r="M101" s="30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0"/>
      <c r="G102" s="30" t="str">
        <f t="shared" si="9"/>
        <v/>
      </c>
      <c r="H102" s="30"/>
      <c r="I102" s="30"/>
      <c r="J102" s="30" t="str">
        <f t="shared" si="10"/>
        <v/>
      </c>
      <c r="K102" s="30" t="str">
        <f t="shared" si="11"/>
        <v/>
      </c>
      <c r="L102" s="30"/>
      <c r="M102" s="30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0"/>
      <c r="G103" s="30" t="str">
        <f t="shared" si="9"/>
        <v/>
      </c>
      <c r="H103" s="30"/>
      <c r="I103" s="30"/>
      <c r="J103" s="30" t="str">
        <f t="shared" si="10"/>
        <v/>
      </c>
      <c r="K103" s="30" t="str">
        <f t="shared" si="11"/>
        <v/>
      </c>
      <c r="L103" s="30"/>
      <c r="M103" s="30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0"/>
      <c r="G104" s="30" t="str">
        <f t="shared" si="9"/>
        <v/>
      </c>
      <c r="H104" s="30"/>
      <c r="I104" s="30"/>
      <c r="J104" s="30" t="str">
        <f t="shared" si="10"/>
        <v/>
      </c>
      <c r="K104" s="30" t="str">
        <f t="shared" si="11"/>
        <v/>
      </c>
      <c r="L104" s="30"/>
      <c r="M104" s="30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0"/>
      <c r="G105" s="30" t="str">
        <f t="shared" si="9"/>
        <v/>
      </c>
      <c r="H105" s="30"/>
      <c r="I105" s="30"/>
      <c r="J105" s="30" t="str">
        <f t="shared" si="10"/>
        <v/>
      </c>
      <c r="K105" s="30" t="str">
        <f t="shared" si="11"/>
        <v/>
      </c>
      <c r="L105" s="30"/>
      <c r="M105" s="30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0"/>
      <c r="G106" s="30" t="str">
        <f t="shared" si="9"/>
        <v/>
      </c>
      <c r="H106" s="30"/>
      <c r="I106" s="30"/>
      <c r="J106" s="30" t="str">
        <f t="shared" si="10"/>
        <v/>
      </c>
      <c r="K106" s="30" t="str">
        <f t="shared" si="11"/>
        <v/>
      </c>
      <c r="L106" s="30"/>
      <c r="M106" s="30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0"/>
      <c r="G107" s="30" t="str">
        <f t="shared" si="9"/>
        <v/>
      </c>
      <c r="H107" s="30"/>
      <c r="I107" s="30"/>
      <c r="J107" s="30" t="str">
        <f t="shared" si="10"/>
        <v/>
      </c>
      <c r="K107" s="30" t="str">
        <f t="shared" si="11"/>
        <v/>
      </c>
      <c r="L107" s="30"/>
      <c r="M107" s="30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0"/>
      <c r="G108" s="30" t="str">
        <f t="shared" si="9"/>
        <v/>
      </c>
      <c r="H108" s="30"/>
      <c r="I108" s="30"/>
      <c r="J108" s="30" t="str">
        <f t="shared" si="10"/>
        <v/>
      </c>
      <c r="K108" s="30" t="str">
        <f t="shared" si="11"/>
        <v/>
      </c>
      <c r="L108" s="30"/>
      <c r="M108" s="30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0"/>
      <c r="G109" s="30" t="str">
        <f t="shared" si="9"/>
        <v/>
      </c>
      <c r="H109" s="30"/>
      <c r="I109" s="30"/>
      <c r="J109" s="30" t="str">
        <f t="shared" si="10"/>
        <v/>
      </c>
      <c r="K109" s="30" t="str">
        <f t="shared" si="11"/>
        <v/>
      </c>
      <c r="L109" s="30"/>
      <c r="M109" s="30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0"/>
      <c r="G110" s="30" t="str">
        <f t="shared" si="9"/>
        <v/>
      </c>
      <c r="H110" s="30"/>
      <c r="I110" s="30"/>
      <c r="J110" s="30" t="str">
        <f t="shared" si="10"/>
        <v/>
      </c>
      <c r="K110" s="30" t="str">
        <f t="shared" si="11"/>
        <v/>
      </c>
      <c r="L110" s="30"/>
      <c r="M110" s="30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0"/>
      <c r="G111" s="30" t="str">
        <f t="shared" si="9"/>
        <v/>
      </c>
      <c r="H111" s="30"/>
      <c r="I111" s="30"/>
      <c r="J111" s="30" t="str">
        <f t="shared" si="10"/>
        <v/>
      </c>
      <c r="K111" s="30" t="str">
        <f t="shared" si="11"/>
        <v/>
      </c>
      <c r="L111" s="30"/>
      <c r="M111" s="30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0"/>
      <c r="G112" s="30" t="str">
        <f t="shared" si="9"/>
        <v/>
      </c>
      <c r="H112" s="30"/>
      <c r="I112" s="30"/>
      <c r="J112" s="30" t="str">
        <f t="shared" si="10"/>
        <v/>
      </c>
      <c r="K112" s="30" t="str">
        <f t="shared" si="11"/>
        <v/>
      </c>
      <c r="L112" s="30"/>
      <c r="M112" s="30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0"/>
      <c r="G113" s="30" t="str">
        <f t="shared" si="9"/>
        <v/>
      </c>
      <c r="H113" s="30"/>
      <c r="I113" s="30"/>
      <c r="J113" s="30" t="str">
        <f t="shared" si="10"/>
        <v/>
      </c>
      <c r="K113" s="30" t="str">
        <f t="shared" si="11"/>
        <v/>
      </c>
      <c r="L113" s="30"/>
      <c r="M113" s="30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0"/>
      <c r="G114" s="30" t="str">
        <f t="shared" si="9"/>
        <v/>
      </c>
      <c r="H114" s="30"/>
      <c r="I114" s="30"/>
      <c r="J114" s="30" t="str">
        <f t="shared" si="10"/>
        <v/>
      </c>
      <c r="K114" s="30" t="str">
        <f t="shared" si="11"/>
        <v/>
      </c>
      <c r="L114" s="30"/>
      <c r="M114" s="30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0"/>
      <c r="G115" s="30" t="str">
        <f t="shared" si="9"/>
        <v/>
      </c>
      <c r="H115" s="30"/>
      <c r="I115" s="30"/>
      <c r="J115" s="30" t="str">
        <f t="shared" si="10"/>
        <v/>
      </c>
      <c r="K115" s="30" t="str">
        <f t="shared" si="11"/>
        <v/>
      </c>
      <c r="L115" s="30"/>
      <c r="M115" s="30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0"/>
      <c r="G116" s="30" t="str">
        <f t="shared" si="9"/>
        <v/>
      </c>
      <c r="H116" s="30"/>
      <c r="I116" s="30"/>
      <c r="J116" s="30" t="str">
        <f t="shared" si="10"/>
        <v/>
      </c>
      <c r="K116" s="30" t="str">
        <f t="shared" si="11"/>
        <v/>
      </c>
      <c r="L116" s="30"/>
      <c r="M116" s="30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0"/>
      <c r="G117" s="30" t="str">
        <f t="shared" si="9"/>
        <v/>
      </c>
      <c r="H117" s="30"/>
      <c r="I117" s="30"/>
      <c r="J117" s="30" t="str">
        <f t="shared" si="10"/>
        <v/>
      </c>
      <c r="K117" s="30" t="str">
        <f t="shared" si="11"/>
        <v/>
      </c>
      <c r="L117" s="30"/>
      <c r="M117" s="30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0"/>
      <c r="G118" s="30" t="str">
        <f t="shared" si="9"/>
        <v/>
      </c>
      <c r="H118" s="30"/>
      <c r="I118" s="30"/>
      <c r="J118" s="30" t="str">
        <f t="shared" si="10"/>
        <v/>
      </c>
      <c r="K118" s="30" t="str">
        <f t="shared" si="11"/>
        <v/>
      </c>
      <c r="L118" s="30"/>
      <c r="M118" s="30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0"/>
      <c r="G119" s="30" t="str">
        <f t="shared" si="9"/>
        <v/>
      </c>
      <c r="H119" s="30"/>
      <c r="I119" s="30"/>
      <c r="J119" s="30" t="str">
        <f t="shared" si="10"/>
        <v/>
      </c>
      <c r="K119" s="30" t="str">
        <f t="shared" si="11"/>
        <v/>
      </c>
      <c r="L119" s="30"/>
      <c r="M119" s="30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0"/>
      <c r="G120" s="30" t="str">
        <f t="shared" si="9"/>
        <v/>
      </c>
      <c r="H120" s="30"/>
      <c r="I120" s="30"/>
      <c r="J120" s="30" t="str">
        <f t="shared" si="10"/>
        <v/>
      </c>
      <c r="K120" s="30" t="str">
        <f t="shared" si="11"/>
        <v/>
      </c>
      <c r="L120" s="30"/>
      <c r="M120" s="30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0"/>
      <c r="G121" s="30" t="str">
        <f t="shared" si="9"/>
        <v/>
      </c>
      <c r="H121" s="30"/>
      <c r="I121" s="30"/>
      <c r="J121" s="30" t="str">
        <f t="shared" si="10"/>
        <v/>
      </c>
      <c r="K121" s="30" t="str">
        <f t="shared" si="11"/>
        <v/>
      </c>
      <c r="L121" s="30"/>
      <c r="M121" s="30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M121">
    <cfRule type="expression" dxfId="19" priority="1">
      <formula>MOD(ROW(),2)=0</formula>
    </cfRule>
  </conditionalFormatting>
  <dataValidations count="1">
    <dataValidation type="list" sqref="H2:I121 E2:F121" xr:uid="{00000000-0002-0000-0700-000000000000}">
      <formula1>"1,2,3,4,5"</formula1>
    </dataValidation>
  </dataValidations>
  <hyperlinks>
    <hyperlink ref="X1" location="'Cover'!A1" display="Cover" xr:uid="{00000000-0004-0000-0700-000000000000}"/>
    <hyperlink ref="Y1" location="'Index'!A1" display="Index" xr:uid="{00000000-0004-0000-0700-000001000000}"/>
    <hyperlink ref="Z1" location="'Executive Dashboard'!A1" display="Dashboard" xr:uid="{00000000-0004-0000-0700-000002000000}"/>
    <hyperlink ref="AA1" location="'Live KPI Overview'!A1" display="Analytics" xr:uid="{00000000-0004-0000-07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50"/>
  <sheetViews>
    <sheetView showGridLines="0" topLeftCell="P1" workbookViewId="0">
      <pane ySplit="1" topLeftCell="A2" activePane="bottomLeft" state="frozen"/>
      <selection pane="bottomLeft" sqref="A1:H121"/>
    </sheetView>
  </sheetViews>
  <sheetFormatPr defaultRowHeight="13.8"/>
  <cols>
    <col min="1" max="2" width="17" customWidth="1"/>
    <col min="3" max="3" width="20.19921875" customWidth="1"/>
    <col min="4" max="8" width="17" customWidth="1"/>
    <col min="9" max="21" width="19" customWidth="1"/>
    <col min="24" max="27" width="13" customWidth="1"/>
  </cols>
  <sheetData>
    <row r="1" spans="1:27" ht="34.950000000000003" customHeight="1">
      <c r="A1" s="29" t="s">
        <v>181</v>
      </c>
      <c r="B1" s="29" t="s">
        <v>170</v>
      </c>
      <c r="C1" s="29" t="s">
        <v>182</v>
      </c>
      <c r="D1" s="29" t="s">
        <v>99</v>
      </c>
      <c r="E1" s="29" t="s">
        <v>183</v>
      </c>
      <c r="F1" s="29" t="s">
        <v>149</v>
      </c>
      <c r="G1" s="29" t="s">
        <v>161</v>
      </c>
      <c r="H1" s="29" t="s">
        <v>184</v>
      </c>
      <c r="I1" s="4"/>
      <c r="J1" s="4"/>
      <c r="K1" s="4"/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/>
      <c r="B2" s="30"/>
      <c r="C2" s="30"/>
      <c r="D2" s="30"/>
      <c r="E2" s="30"/>
      <c r="F2" s="30"/>
      <c r="G2" s="30"/>
      <c r="H2" s="30"/>
      <c r="I2" s="7"/>
      <c r="J2" s="7"/>
      <c r="K2" s="7"/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/>
      <c r="B3" s="30"/>
      <c r="C3" s="30"/>
      <c r="D3" s="30"/>
      <c r="E3" s="30"/>
      <c r="F3" s="30"/>
      <c r="G3" s="30"/>
      <c r="H3" s="30"/>
      <c r="I3" s="2"/>
      <c r="J3" s="2"/>
      <c r="K3" s="2"/>
      <c r="L3" s="2"/>
      <c r="M3" s="2"/>
      <c r="N3" s="2"/>
      <c r="O3" s="2"/>
      <c r="P3" s="2"/>
    </row>
    <row r="4" spans="1:27" ht="22.95" customHeight="1">
      <c r="A4" s="30"/>
      <c r="B4" s="30"/>
      <c r="C4" s="30"/>
      <c r="D4" s="30"/>
      <c r="E4" s="30"/>
      <c r="F4" s="30"/>
      <c r="G4" s="30"/>
      <c r="H4" s="30"/>
      <c r="I4" s="2"/>
      <c r="J4" s="2"/>
      <c r="K4" s="2"/>
      <c r="L4" s="2"/>
      <c r="M4" s="2"/>
      <c r="N4" s="2"/>
      <c r="O4" s="2"/>
      <c r="P4" s="2"/>
    </row>
    <row r="5" spans="1:27" ht="22.95" customHeight="1">
      <c r="A5" s="30"/>
      <c r="B5" s="30"/>
      <c r="C5" s="30"/>
      <c r="D5" s="30"/>
      <c r="E5" s="30"/>
      <c r="F5" s="30"/>
      <c r="G5" s="30"/>
      <c r="H5" s="30"/>
      <c r="I5" s="2"/>
      <c r="J5" s="2"/>
      <c r="K5" s="2"/>
      <c r="L5" s="2"/>
      <c r="M5" s="2"/>
      <c r="N5" s="2"/>
      <c r="O5" s="2"/>
      <c r="P5" s="2"/>
    </row>
    <row r="6" spans="1:27" ht="22.95" customHeight="1">
      <c r="A6" s="30"/>
      <c r="B6" s="30"/>
      <c r="C6" s="30"/>
      <c r="D6" s="30"/>
      <c r="E6" s="30"/>
      <c r="F6" s="30"/>
      <c r="G6" s="30"/>
      <c r="H6" s="30"/>
      <c r="I6" s="2"/>
      <c r="J6" s="2"/>
      <c r="K6" s="2"/>
      <c r="L6" s="2"/>
      <c r="M6" s="2"/>
      <c r="N6" s="2"/>
      <c r="O6" s="2"/>
      <c r="P6" s="2"/>
    </row>
    <row r="7" spans="1:27" ht="22.95" customHeight="1">
      <c r="A7" s="30"/>
      <c r="B7" s="30"/>
      <c r="C7" s="30"/>
      <c r="D7" s="30"/>
      <c r="E7" s="30"/>
      <c r="F7" s="30"/>
      <c r="G7" s="30"/>
      <c r="H7" s="30"/>
      <c r="I7" s="2"/>
      <c r="J7" s="2"/>
      <c r="K7" s="2"/>
      <c r="L7" s="2"/>
      <c r="M7" s="2"/>
      <c r="N7" s="2"/>
      <c r="O7" s="2"/>
      <c r="P7" s="2"/>
    </row>
    <row r="8" spans="1:27" ht="22.95" customHeight="1">
      <c r="A8" s="30"/>
      <c r="B8" s="30"/>
      <c r="C8" s="30"/>
      <c r="D8" s="30"/>
      <c r="E8" s="30"/>
      <c r="F8" s="30"/>
      <c r="G8" s="30"/>
      <c r="H8" s="30"/>
      <c r="I8" s="2"/>
      <c r="J8" s="2"/>
      <c r="K8" s="2"/>
      <c r="L8" s="2"/>
      <c r="M8" s="2"/>
      <c r="N8" s="2"/>
      <c r="O8" s="2"/>
      <c r="P8" s="2"/>
    </row>
    <row r="9" spans="1:27" ht="22.95" customHeight="1">
      <c r="A9" s="30"/>
      <c r="B9" s="30"/>
      <c r="C9" s="30"/>
      <c r="D9" s="30"/>
      <c r="E9" s="30"/>
      <c r="F9" s="30"/>
      <c r="G9" s="30"/>
      <c r="H9" s="30"/>
      <c r="I9" s="2"/>
      <c r="J9" s="2"/>
      <c r="K9" s="2"/>
      <c r="L9" s="2"/>
      <c r="M9" s="2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0"/>
      <c r="G10" s="30"/>
      <c r="H10" s="30"/>
      <c r="I10" s="2"/>
      <c r="J10" s="2"/>
      <c r="K10" s="2"/>
      <c r="L10" s="2"/>
      <c r="M10" s="2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0"/>
      <c r="G11" s="30"/>
      <c r="H11" s="30"/>
      <c r="I11" s="2"/>
      <c r="J11" s="2"/>
      <c r="K11" s="2"/>
      <c r="L11" s="2"/>
      <c r="M11" s="2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0"/>
      <c r="G12" s="30"/>
      <c r="H12" s="30"/>
      <c r="I12" s="2"/>
      <c r="J12" s="2"/>
      <c r="K12" s="2"/>
      <c r="L12" s="2"/>
      <c r="M12" s="2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0"/>
      <c r="G13" s="30"/>
      <c r="H13" s="30"/>
      <c r="I13" s="2"/>
      <c r="J13" s="2"/>
      <c r="K13" s="2"/>
      <c r="L13" s="2"/>
      <c r="M13" s="2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0"/>
      <c r="G14" s="30"/>
      <c r="H14" s="30"/>
      <c r="I14" s="2"/>
      <c r="J14" s="2"/>
      <c r="K14" s="2"/>
      <c r="L14" s="2"/>
      <c r="M14" s="2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0"/>
      <c r="G15" s="30"/>
      <c r="H15" s="30"/>
      <c r="I15" s="2"/>
      <c r="J15" s="2"/>
      <c r="K15" s="2"/>
      <c r="L15" s="2"/>
      <c r="M15" s="2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0"/>
      <c r="G16" s="30"/>
      <c r="H16" s="30"/>
      <c r="I16" s="2"/>
      <c r="J16" s="2"/>
      <c r="K16" s="2"/>
      <c r="L16" s="2"/>
      <c r="M16" s="2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0"/>
      <c r="G17" s="30"/>
      <c r="H17" s="30"/>
      <c r="I17" s="2"/>
      <c r="J17" s="2"/>
      <c r="K17" s="2"/>
      <c r="L17" s="2"/>
      <c r="M17" s="2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0"/>
      <c r="G18" s="30"/>
      <c r="H18" s="30"/>
      <c r="I18" s="2"/>
      <c r="J18" s="2"/>
      <c r="K18" s="2"/>
      <c r="L18" s="2"/>
      <c r="M18" s="2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0"/>
      <c r="G19" s="30"/>
      <c r="H19" s="30"/>
      <c r="I19" s="2"/>
      <c r="J19" s="2"/>
      <c r="K19" s="2"/>
      <c r="L19" s="2"/>
      <c r="M19" s="2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0"/>
      <c r="G20" s="30"/>
      <c r="H20" s="30"/>
      <c r="I20" s="2"/>
      <c r="J20" s="2"/>
      <c r="K20" s="2"/>
      <c r="L20" s="2"/>
      <c r="M20" s="2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0"/>
      <c r="G21" s="30"/>
      <c r="H21" s="30"/>
      <c r="I21" s="2"/>
      <c r="J21" s="2"/>
      <c r="K21" s="2"/>
      <c r="L21" s="2"/>
      <c r="M21" s="2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0"/>
      <c r="G22" s="30"/>
      <c r="H22" s="30"/>
      <c r="I22" s="2"/>
      <c r="J22" s="2"/>
      <c r="K22" s="2"/>
      <c r="L22" s="2"/>
      <c r="M22" s="2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0"/>
      <c r="G23" s="30"/>
      <c r="H23" s="30"/>
      <c r="I23" s="2"/>
      <c r="J23" s="2"/>
      <c r="K23" s="2"/>
      <c r="L23" s="2"/>
      <c r="M23" s="2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0"/>
      <c r="G24" s="30"/>
      <c r="H24" s="30"/>
      <c r="I24" s="2"/>
      <c r="J24" s="2"/>
      <c r="K24" s="2"/>
      <c r="L24" s="2"/>
      <c r="M24" s="2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0"/>
      <c r="G25" s="30"/>
      <c r="H25" s="30"/>
      <c r="I25" s="2"/>
      <c r="J25" s="2"/>
      <c r="K25" s="2"/>
      <c r="L25" s="2"/>
      <c r="M25" s="2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0"/>
      <c r="G26" s="30"/>
      <c r="H26" s="30"/>
      <c r="I26" s="2"/>
      <c r="J26" s="2"/>
      <c r="K26" s="2"/>
      <c r="L26" s="2"/>
      <c r="M26" s="2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0"/>
      <c r="G27" s="30"/>
      <c r="H27" s="30"/>
      <c r="I27" s="2"/>
      <c r="J27" s="2"/>
      <c r="K27" s="2"/>
      <c r="L27" s="2"/>
      <c r="M27" s="2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0"/>
      <c r="G28" s="30"/>
      <c r="H28" s="30"/>
      <c r="I28" s="2"/>
      <c r="J28" s="2"/>
      <c r="K28" s="2"/>
      <c r="L28" s="2"/>
      <c r="M28" s="2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0"/>
      <c r="G29" s="30"/>
      <c r="H29" s="30"/>
      <c r="I29" s="2"/>
      <c r="J29" s="2"/>
      <c r="K29" s="2"/>
      <c r="L29" s="2"/>
      <c r="M29" s="2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0"/>
      <c r="G30" s="30"/>
      <c r="H30" s="30"/>
      <c r="I30" s="2"/>
      <c r="J30" s="2"/>
      <c r="K30" s="2"/>
      <c r="L30" s="2"/>
      <c r="M30" s="2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0"/>
      <c r="G31" s="30"/>
      <c r="H31" s="30"/>
      <c r="I31" s="2"/>
      <c r="J31" s="2"/>
      <c r="K31" s="2"/>
      <c r="L31" s="2"/>
      <c r="M31" s="2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0"/>
      <c r="G32" s="30"/>
      <c r="H32" s="30"/>
      <c r="I32" s="2"/>
      <c r="J32" s="2"/>
      <c r="K32" s="2"/>
      <c r="L32" s="2"/>
      <c r="M32" s="2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0"/>
      <c r="G33" s="30"/>
      <c r="H33" s="30"/>
      <c r="I33" s="2"/>
      <c r="J33" s="2"/>
      <c r="K33" s="2"/>
      <c r="L33" s="2"/>
      <c r="M33" s="2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0"/>
      <c r="G34" s="30"/>
      <c r="H34" s="30"/>
      <c r="I34" s="2"/>
      <c r="J34" s="2"/>
      <c r="K34" s="2"/>
      <c r="L34" s="2"/>
      <c r="M34" s="2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0"/>
      <c r="G35" s="30"/>
      <c r="H35" s="30"/>
      <c r="I35" s="2"/>
      <c r="J35" s="2"/>
      <c r="K35" s="2"/>
      <c r="L35" s="2"/>
      <c r="M35" s="2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0"/>
      <c r="G36" s="30"/>
      <c r="H36" s="30"/>
      <c r="I36" s="2"/>
      <c r="J36" s="2"/>
      <c r="K36" s="2"/>
      <c r="L36" s="2"/>
      <c r="M36" s="2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0"/>
      <c r="G37" s="30"/>
      <c r="H37" s="30"/>
      <c r="I37" s="2"/>
      <c r="J37" s="2"/>
      <c r="K37" s="2"/>
      <c r="L37" s="2"/>
      <c r="M37" s="2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0"/>
      <c r="G38" s="30"/>
      <c r="H38" s="30"/>
      <c r="I38" s="2"/>
      <c r="J38" s="2"/>
      <c r="K38" s="2"/>
      <c r="L38" s="2"/>
      <c r="M38" s="2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0"/>
      <c r="G39" s="30"/>
      <c r="H39" s="30"/>
      <c r="I39" s="2"/>
      <c r="J39" s="2"/>
      <c r="K39" s="2"/>
      <c r="L39" s="2"/>
      <c r="M39" s="2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0"/>
      <c r="G40" s="30"/>
      <c r="H40" s="30"/>
      <c r="I40" s="2"/>
      <c r="J40" s="2"/>
      <c r="K40" s="2"/>
      <c r="L40" s="2"/>
      <c r="M40" s="2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0"/>
      <c r="G41" s="30"/>
      <c r="H41" s="30"/>
      <c r="I41" s="2"/>
      <c r="J41" s="2"/>
      <c r="K41" s="2"/>
      <c r="L41" s="2"/>
      <c r="M41" s="2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0"/>
      <c r="G42" s="30"/>
      <c r="H42" s="30"/>
      <c r="I42" s="2"/>
      <c r="J42" s="2"/>
      <c r="K42" s="2"/>
      <c r="L42" s="2"/>
      <c r="M42" s="2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0"/>
      <c r="G43" s="30"/>
      <c r="H43" s="30"/>
      <c r="I43" s="2"/>
      <c r="J43" s="2"/>
      <c r="K43" s="2"/>
      <c r="L43" s="2"/>
      <c r="M43" s="2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0"/>
      <c r="G44" s="30"/>
      <c r="H44" s="30"/>
      <c r="I44" s="2"/>
      <c r="J44" s="2"/>
      <c r="K44" s="2"/>
      <c r="L44" s="2"/>
      <c r="M44" s="2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0"/>
      <c r="G45" s="30"/>
      <c r="H45" s="30"/>
      <c r="I45" s="2"/>
      <c r="J45" s="2"/>
      <c r="K45" s="2"/>
      <c r="L45" s="2"/>
      <c r="M45" s="2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0"/>
      <c r="G46" s="30"/>
      <c r="H46" s="30"/>
      <c r="I46" s="2"/>
      <c r="J46" s="2"/>
      <c r="K46" s="2"/>
      <c r="L46" s="2"/>
      <c r="M46" s="2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0"/>
      <c r="G47" s="30"/>
      <c r="H47" s="30"/>
      <c r="I47" s="2"/>
      <c r="J47" s="2"/>
      <c r="K47" s="2"/>
      <c r="L47" s="2"/>
      <c r="M47" s="2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0"/>
      <c r="G48" s="30"/>
      <c r="H48" s="30"/>
      <c r="I48" s="2"/>
      <c r="J48" s="2"/>
      <c r="K48" s="2"/>
      <c r="L48" s="2"/>
      <c r="M48" s="2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0"/>
      <c r="G49" s="30"/>
      <c r="H49" s="30"/>
      <c r="I49" s="2"/>
      <c r="J49" s="2"/>
      <c r="K49" s="2"/>
      <c r="L49" s="2"/>
      <c r="M49" s="2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0"/>
      <c r="G50" s="30"/>
      <c r="H50" s="30"/>
      <c r="I50" s="2"/>
      <c r="J50" s="2"/>
      <c r="K50" s="2"/>
      <c r="L50" s="2"/>
      <c r="M50" s="2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0"/>
      <c r="G51" s="30"/>
      <c r="H51" s="30"/>
      <c r="I51" s="2"/>
      <c r="J51" s="2"/>
      <c r="K51" s="2"/>
      <c r="L51" s="2"/>
      <c r="M51" s="2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0"/>
      <c r="G52" s="30"/>
      <c r="H52" s="30"/>
      <c r="I52" s="2"/>
      <c r="J52" s="2"/>
      <c r="K52" s="2"/>
      <c r="L52" s="2"/>
      <c r="M52" s="2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0"/>
      <c r="G53" s="30"/>
      <c r="H53" s="30"/>
      <c r="I53" s="2"/>
      <c r="J53" s="2"/>
      <c r="K53" s="2"/>
      <c r="L53" s="2"/>
      <c r="M53" s="2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0"/>
      <c r="G54" s="30"/>
      <c r="H54" s="30"/>
      <c r="I54" s="2"/>
      <c r="J54" s="2"/>
      <c r="K54" s="2"/>
      <c r="L54" s="2"/>
      <c r="M54" s="2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0"/>
      <c r="G55" s="30"/>
      <c r="H55" s="30"/>
      <c r="I55" s="2"/>
      <c r="J55" s="2"/>
      <c r="K55" s="2"/>
      <c r="L55" s="2"/>
      <c r="M55" s="2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0"/>
      <c r="G56" s="30"/>
      <c r="H56" s="30"/>
      <c r="I56" s="2"/>
      <c r="J56" s="2"/>
      <c r="K56" s="2"/>
      <c r="L56" s="2"/>
      <c r="M56" s="2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0"/>
      <c r="G57" s="30"/>
      <c r="H57" s="30"/>
      <c r="I57" s="2"/>
      <c r="J57" s="2"/>
      <c r="K57" s="2"/>
      <c r="L57" s="2"/>
      <c r="M57" s="2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0"/>
      <c r="G58" s="30"/>
      <c r="H58" s="30"/>
      <c r="I58" s="2"/>
      <c r="J58" s="2"/>
      <c r="K58" s="2"/>
      <c r="L58" s="2"/>
      <c r="M58" s="2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0"/>
      <c r="G59" s="30"/>
      <c r="H59" s="30"/>
      <c r="I59" s="2"/>
      <c r="J59" s="2"/>
      <c r="K59" s="2"/>
      <c r="L59" s="2"/>
      <c r="M59" s="2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0"/>
      <c r="G60" s="30"/>
      <c r="H60" s="30"/>
      <c r="I60" s="2"/>
      <c r="J60" s="2"/>
      <c r="K60" s="2"/>
      <c r="L60" s="2"/>
      <c r="M60" s="2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0"/>
      <c r="G61" s="30"/>
      <c r="H61" s="30"/>
      <c r="I61" s="2"/>
      <c r="J61" s="2"/>
      <c r="K61" s="2"/>
      <c r="L61" s="2"/>
      <c r="M61" s="2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0"/>
      <c r="G62" s="30"/>
      <c r="H62" s="30"/>
      <c r="I62" s="2"/>
      <c r="J62" s="2"/>
      <c r="K62" s="2"/>
      <c r="L62" s="2"/>
      <c r="M62" s="2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0"/>
      <c r="G63" s="30"/>
      <c r="H63" s="30"/>
      <c r="I63" s="2"/>
      <c r="J63" s="2"/>
      <c r="K63" s="2"/>
      <c r="L63" s="2"/>
      <c r="M63" s="2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0"/>
      <c r="G64" s="30"/>
      <c r="H64" s="30"/>
      <c r="I64" s="2"/>
      <c r="J64" s="2"/>
      <c r="K64" s="2"/>
      <c r="L64" s="2"/>
      <c r="M64" s="2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0"/>
      <c r="G65" s="30"/>
      <c r="H65" s="30"/>
      <c r="I65" s="2"/>
      <c r="J65" s="2"/>
      <c r="K65" s="2"/>
      <c r="L65" s="2"/>
      <c r="M65" s="2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0"/>
      <c r="G66" s="30"/>
      <c r="H66" s="30"/>
      <c r="I66" s="2"/>
      <c r="J66" s="2"/>
      <c r="K66" s="2"/>
      <c r="L66" s="2"/>
      <c r="M66" s="2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0"/>
      <c r="G67" s="30"/>
      <c r="H67" s="30"/>
      <c r="I67" s="2"/>
      <c r="J67" s="2"/>
      <c r="K67" s="2"/>
      <c r="L67" s="2"/>
      <c r="M67" s="2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0"/>
      <c r="G68" s="30"/>
      <c r="H68" s="30"/>
      <c r="I68" s="2"/>
      <c r="J68" s="2"/>
      <c r="K68" s="2"/>
      <c r="L68" s="2"/>
      <c r="M68" s="2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0"/>
      <c r="G69" s="30"/>
      <c r="H69" s="30"/>
      <c r="I69" s="2"/>
      <c r="J69" s="2"/>
      <c r="K69" s="2"/>
      <c r="L69" s="2"/>
      <c r="M69" s="2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0"/>
      <c r="G70" s="30"/>
      <c r="H70" s="30"/>
      <c r="I70" s="2"/>
      <c r="J70" s="2"/>
      <c r="K70" s="2"/>
      <c r="L70" s="2"/>
      <c r="M70" s="2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0"/>
      <c r="G71" s="30"/>
      <c r="H71" s="30"/>
      <c r="I71" s="2"/>
      <c r="J71" s="2"/>
      <c r="K71" s="2"/>
      <c r="L71" s="2"/>
      <c r="M71" s="2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0"/>
      <c r="G72" s="30"/>
      <c r="H72" s="30"/>
      <c r="I72" s="2"/>
      <c r="J72" s="2"/>
      <c r="K72" s="2"/>
      <c r="L72" s="2"/>
      <c r="M72" s="2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0"/>
      <c r="G73" s="30"/>
      <c r="H73" s="30"/>
      <c r="I73" s="2"/>
      <c r="J73" s="2"/>
      <c r="K73" s="2"/>
      <c r="L73" s="2"/>
      <c r="M73" s="2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0"/>
      <c r="G74" s="30"/>
      <c r="H74" s="30"/>
      <c r="I74" s="2"/>
      <c r="J74" s="2"/>
      <c r="K74" s="2"/>
      <c r="L74" s="2"/>
      <c r="M74" s="2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0"/>
      <c r="G75" s="30"/>
      <c r="H75" s="30"/>
      <c r="I75" s="2"/>
      <c r="J75" s="2"/>
      <c r="K75" s="2"/>
      <c r="L75" s="2"/>
      <c r="M75" s="2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0"/>
      <c r="G76" s="30"/>
      <c r="H76" s="30"/>
      <c r="I76" s="2"/>
      <c r="J76" s="2"/>
      <c r="K76" s="2"/>
      <c r="L76" s="2"/>
      <c r="M76" s="2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0"/>
      <c r="G77" s="30"/>
      <c r="H77" s="30"/>
      <c r="I77" s="2"/>
      <c r="J77" s="2"/>
      <c r="K77" s="2"/>
      <c r="L77" s="2"/>
      <c r="M77" s="2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0"/>
      <c r="G78" s="30"/>
      <c r="H78" s="30"/>
      <c r="I78" s="2"/>
      <c r="J78" s="2"/>
      <c r="K78" s="2"/>
      <c r="L78" s="2"/>
      <c r="M78" s="2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0"/>
      <c r="G79" s="30"/>
      <c r="H79" s="30"/>
      <c r="I79" s="2"/>
      <c r="J79" s="2"/>
      <c r="K79" s="2"/>
      <c r="L79" s="2"/>
      <c r="M79" s="2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0"/>
      <c r="G80" s="30"/>
      <c r="H80" s="30"/>
      <c r="I80" s="2"/>
      <c r="J80" s="2"/>
      <c r="K80" s="2"/>
      <c r="L80" s="2"/>
      <c r="M80" s="2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0"/>
      <c r="G81" s="30"/>
      <c r="H81" s="30"/>
      <c r="I81" s="2"/>
      <c r="J81" s="2"/>
      <c r="K81" s="2"/>
      <c r="L81" s="2"/>
      <c r="M81" s="2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0"/>
      <c r="G82" s="30"/>
      <c r="H82" s="30"/>
      <c r="I82" s="2"/>
      <c r="J82" s="2"/>
      <c r="K82" s="2"/>
      <c r="L82" s="2"/>
      <c r="M82" s="2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0"/>
      <c r="G83" s="30"/>
      <c r="H83" s="30"/>
      <c r="I83" s="2"/>
      <c r="J83" s="2"/>
      <c r="K83" s="2"/>
      <c r="L83" s="2"/>
      <c r="M83" s="2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0"/>
      <c r="G84" s="30"/>
      <c r="H84" s="30"/>
      <c r="I84" s="2"/>
      <c r="J84" s="2"/>
      <c r="K84" s="2"/>
      <c r="L84" s="2"/>
      <c r="M84" s="2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0"/>
      <c r="G85" s="30"/>
      <c r="H85" s="30"/>
      <c r="I85" s="2"/>
      <c r="J85" s="2"/>
      <c r="K85" s="2"/>
      <c r="L85" s="2"/>
      <c r="M85" s="2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0"/>
      <c r="G86" s="30"/>
      <c r="H86" s="30"/>
      <c r="I86" s="2"/>
      <c r="J86" s="2"/>
      <c r="K86" s="2"/>
      <c r="L86" s="2"/>
      <c r="M86" s="2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0"/>
      <c r="G87" s="30"/>
      <c r="H87" s="30"/>
      <c r="I87" s="2"/>
      <c r="J87" s="2"/>
      <c r="K87" s="2"/>
      <c r="L87" s="2"/>
      <c r="M87" s="2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0"/>
      <c r="G88" s="30"/>
      <c r="H88" s="30"/>
      <c r="I88" s="2"/>
      <c r="J88" s="2"/>
      <c r="K88" s="2"/>
      <c r="L88" s="2"/>
      <c r="M88" s="2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0"/>
      <c r="G89" s="30"/>
      <c r="H89" s="30"/>
      <c r="I89" s="2"/>
      <c r="J89" s="2"/>
      <c r="K89" s="2"/>
      <c r="L89" s="2"/>
      <c r="M89" s="2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0"/>
      <c r="G90" s="30"/>
      <c r="H90" s="30"/>
      <c r="I90" s="2"/>
      <c r="J90" s="2"/>
      <c r="K90" s="2"/>
      <c r="L90" s="2"/>
      <c r="M90" s="2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0"/>
      <c r="G91" s="30"/>
      <c r="H91" s="30"/>
      <c r="I91" s="2"/>
      <c r="J91" s="2"/>
      <c r="K91" s="2"/>
      <c r="L91" s="2"/>
      <c r="M91" s="2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0"/>
      <c r="G92" s="30"/>
      <c r="H92" s="30"/>
      <c r="I92" s="2"/>
      <c r="J92" s="2"/>
      <c r="K92" s="2"/>
      <c r="L92" s="2"/>
      <c r="M92" s="2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0"/>
      <c r="G93" s="30"/>
      <c r="H93" s="30"/>
      <c r="I93" s="2"/>
      <c r="J93" s="2"/>
      <c r="K93" s="2"/>
      <c r="L93" s="2"/>
      <c r="M93" s="2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0"/>
      <c r="G94" s="30"/>
      <c r="H94" s="30"/>
      <c r="I94" s="2"/>
      <c r="J94" s="2"/>
      <c r="K94" s="2"/>
      <c r="L94" s="2"/>
      <c r="M94" s="2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0"/>
      <c r="G95" s="30"/>
      <c r="H95" s="30"/>
      <c r="I95" s="2"/>
      <c r="J95" s="2"/>
      <c r="K95" s="2"/>
      <c r="L95" s="2"/>
      <c r="M95" s="2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0"/>
      <c r="G96" s="30"/>
      <c r="H96" s="30"/>
      <c r="I96" s="2"/>
      <c r="J96" s="2"/>
      <c r="K96" s="2"/>
      <c r="L96" s="2"/>
      <c r="M96" s="2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0"/>
      <c r="G97" s="30"/>
      <c r="H97" s="30"/>
      <c r="I97" s="2"/>
      <c r="J97" s="2"/>
      <c r="K97" s="2"/>
      <c r="L97" s="2"/>
      <c r="M97" s="2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0"/>
      <c r="G98" s="30"/>
      <c r="H98" s="30"/>
      <c r="I98" s="2"/>
      <c r="J98" s="2"/>
      <c r="K98" s="2"/>
      <c r="L98" s="2"/>
      <c r="M98" s="2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0"/>
      <c r="G99" s="30"/>
      <c r="H99" s="30"/>
      <c r="I99" s="2"/>
      <c r="J99" s="2"/>
      <c r="K99" s="2"/>
      <c r="L99" s="2"/>
      <c r="M99" s="2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0"/>
      <c r="G100" s="30"/>
      <c r="H100" s="30"/>
      <c r="I100" s="2"/>
      <c r="J100" s="2"/>
      <c r="K100" s="2"/>
      <c r="L100" s="2"/>
      <c r="M100" s="2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0"/>
      <c r="G101" s="30"/>
      <c r="H101" s="30"/>
      <c r="I101" s="2"/>
      <c r="J101" s="2"/>
      <c r="K101" s="2"/>
      <c r="L101" s="2"/>
      <c r="M101" s="2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0"/>
      <c r="G102" s="30"/>
      <c r="H102" s="30"/>
      <c r="I102" s="2"/>
      <c r="J102" s="2"/>
      <c r="K102" s="2"/>
      <c r="L102" s="2"/>
      <c r="M102" s="2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0"/>
      <c r="G103" s="30"/>
      <c r="H103" s="30"/>
      <c r="I103" s="2"/>
      <c r="J103" s="2"/>
      <c r="K103" s="2"/>
      <c r="L103" s="2"/>
      <c r="M103" s="2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0"/>
      <c r="G104" s="30"/>
      <c r="H104" s="30"/>
      <c r="I104" s="2"/>
      <c r="J104" s="2"/>
      <c r="K104" s="2"/>
      <c r="L104" s="2"/>
      <c r="M104" s="2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0"/>
      <c r="G105" s="30"/>
      <c r="H105" s="30"/>
      <c r="I105" s="2"/>
      <c r="J105" s="2"/>
      <c r="K105" s="2"/>
      <c r="L105" s="2"/>
      <c r="M105" s="2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0"/>
      <c r="G106" s="30"/>
      <c r="H106" s="30"/>
      <c r="I106" s="2"/>
      <c r="J106" s="2"/>
      <c r="K106" s="2"/>
      <c r="L106" s="2"/>
      <c r="M106" s="2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0"/>
      <c r="G107" s="30"/>
      <c r="H107" s="30"/>
      <c r="I107" s="2"/>
      <c r="J107" s="2"/>
      <c r="K107" s="2"/>
      <c r="L107" s="2"/>
      <c r="M107" s="2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0"/>
      <c r="G108" s="30"/>
      <c r="H108" s="30"/>
      <c r="I108" s="2"/>
      <c r="J108" s="2"/>
      <c r="K108" s="2"/>
      <c r="L108" s="2"/>
      <c r="M108" s="2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0"/>
      <c r="G109" s="30"/>
      <c r="H109" s="30"/>
      <c r="I109" s="2"/>
      <c r="J109" s="2"/>
      <c r="K109" s="2"/>
      <c r="L109" s="2"/>
      <c r="M109" s="2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0"/>
      <c r="G110" s="30"/>
      <c r="H110" s="30"/>
      <c r="I110" s="2"/>
      <c r="J110" s="2"/>
      <c r="K110" s="2"/>
      <c r="L110" s="2"/>
      <c r="M110" s="2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0"/>
      <c r="G111" s="30"/>
      <c r="H111" s="30"/>
      <c r="I111" s="2"/>
      <c r="J111" s="2"/>
      <c r="K111" s="2"/>
      <c r="L111" s="2"/>
      <c r="M111" s="2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0"/>
      <c r="G112" s="30"/>
      <c r="H112" s="30"/>
      <c r="I112" s="2"/>
      <c r="J112" s="2"/>
      <c r="K112" s="2"/>
      <c r="L112" s="2"/>
      <c r="M112" s="2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0"/>
      <c r="G113" s="30"/>
      <c r="H113" s="30"/>
      <c r="I113" s="2"/>
      <c r="J113" s="2"/>
      <c r="K113" s="2"/>
      <c r="L113" s="2"/>
      <c r="M113" s="2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0"/>
      <c r="G114" s="30"/>
      <c r="H114" s="30"/>
      <c r="I114" s="2"/>
      <c r="J114" s="2"/>
      <c r="K114" s="2"/>
      <c r="L114" s="2"/>
      <c r="M114" s="2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0"/>
      <c r="G115" s="30"/>
      <c r="H115" s="30"/>
      <c r="I115" s="2"/>
      <c r="J115" s="2"/>
      <c r="K115" s="2"/>
      <c r="L115" s="2"/>
      <c r="M115" s="2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0"/>
      <c r="G116" s="30"/>
      <c r="H116" s="30"/>
      <c r="I116" s="2"/>
      <c r="J116" s="2"/>
      <c r="K116" s="2"/>
      <c r="L116" s="2"/>
      <c r="M116" s="2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0"/>
      <c r="G117" s="30"/>
      <c r="H117" s="30"/>
      <c r="I117" s="2"/>
      <c r="J117" s="2"/>
      <c r="K117" s="2"/>
      <c r="L117" s="2"/>
      <c r="M117" s="2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0"/>
      <c r="G118" s="30"/>
      <c r="H118" s="30"/>
      <c r="I118" s="2"/>
      <c r="J118" s="2"/>
      <c r="K118" s="2"/>
      <c r="L118" s="2"/>
      <c r="M118" s="2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0"/>
      <c r="G119" s="30"/>
      <c r="H119" s="30"/>
      <c r="I119" s="2"/>
      <c r="J119" s="2"/>
      <c r="K119" s="2"/>
      <c r="L119" s="2"/>
      <c r="M119" s="2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0"/>
      <c r="G120" s="30"/>
      <c r="H120" s="30"/>
      <c r="I120" s="2"/>
      <c r="J120" s="2"/>
      <c r="K120" s="2"/>
      <c r="L120" s="2"/>
      <c r="M120" s="2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0"/>
      <c r="G121" s="30"/>
      <c r="H121" s="30"/>
      <c r="I121" s="2"/>
      <c r="J121" s="2"/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H121">
    <cfRule type="expression" dxfId="18" priority="1">
      <formula>MOD(ROW(),2)=0</formula>
    </cfRule>
  </conditionalFormatting>
  <dataValidations count="2">
    <dataValidation type="list" sqref="C2:C121" xr:uid="{00000000-0002-0000-0800-000000000000}">
      <formula1>"Mitigate,Avoid,Transfer,Accept"</formula1>
    </dataValidation>
    <dataValidation type="list" sqref="F2:F121" xr:uid="{00000000-0002-0000-0800-000001000000}">
      <formula1>"Open,In Progress,Completed,Validated"</formula1>
    </dataValidation>
  </dataValidations>
  <hyperlinks>
    <hyperlink ref="X1" location="'Cover'!A1" display="Cover" xr:uid="{00000000-0004-0000-0800-000000000000}"/>
    <hyperlink ref="Y1" location="'Index'!A1" display="Index" xr:uid="{00000000-0004-0000-0800-000001000000}"/>
    <hyperlink ref="Z1" location="'Executive Dashboard'!A1" display="Dashboard" xr:uid="{00000000-0004-0000-0800-000002000000}"/>
    <hyperlink ref="AA1" location="'Live KPI Overview'!A1" display="Analytics" xr:uid="{00000000-0004-0000-08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50"/>
  <sheetViews>
    <sheetView showGridLines="0" topLeftCell="B1" workbookViewId="0">
      <pane ySplit="1" topLeftCell="A104" activePane="bottomLeft" state="frozen"/>
      <selection pane="bottomLeft" sqref="A1:K121"/>
    </sheetView>
  </sheetViews>
  <sheetFormatPr defaultRowHeight="13.8"/>
  <cols>
    <col min="1" max="11" width="17" customWidth="1"/>
    <col min="12" max="21" width="19" customWidth="1"/>
    <col min="24" max="27" width="13" customWidth="1"/>
  </cols>
  <sheetData>
    <row r="1" spans="1:27" ht="34.950000000000003" customHeight="1">
      <c r="A1" s="31" t="s">
        <v>185</v>
      </c>
      <c r="B1" s="31" t="s">
        <v>186</v>
      </c>
      <c r="C1" s="31" t="s">
        <v>150</v>
      </c>
      <c r="D1" s="31" t="s">
        <v>187</v>
      </c>
      <c r="E1" s="31" t="s">
        <v>188</v>
      </c>
      <c r="F1" s="31" t="s">
        <v>189</v>
      </c>
      <c r="G1" s="31" t="s">
        <v>99</v>
      </c>
      <c r="H1" s="31" t="s">
        <v>183</v>
      </c>
      <c r="I1" s="31" t="s">
        <v>149</v>
      </c>
      <c r="J1" s="31" t="s">
        <v>184</v>
      </c>
      <c r="K1" s="31" t="s">
        <v>190</v>
      </c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 t="str">
        <f t="shared" ref="K2:K33" ca="1" si="0">IF(OR(H2="",I2="Closed",I2="Validated"),"",MAX(0,TODAY()-H2))</f>
        <v/>
      </c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 t="str">
        <f t="shared" ca="1" si="0"/>
        <v/>
      </c>
      <c r="L3" s="2"/>
      <c r="M3" s="2"/>
      <c r="N3" s="2"/>
      <c r="O3" s="2"/>
      <c r="P3" s="2"/>
    </row>
    <row r="4" spans="1:27" ht="22.95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 t="str">
        <f t="shared" ca="1" si="0"/>
        <v/>
      </c>
      <c r="L4" s="2"/>
      <c r="M4" s="2"/>
      <c r="N4" s="2"/>
      <c r="O4" s="2"/>
      <c r="P4" s="2"/>
    </row>
    <row r="5" spans="1:27" ht="22.95" customHeight="1">
      <c r="A5" s="32"/>
      <c r="B5" s="32"/>
      <c r="C5" s="32"/>
      <c r="D5" s="32"/>
      <c r="E5" s="32"/>
      <c r="F5" s="32"/>
      <c r="G5" s="32"/>
      <c r="H5" s="32"/>
      <c r="I5" s="32"/>
      <c r="J5" s="32"/>
      <c r="K5" s="32" t="str">
        <f t="shared" ca="1" si="0"/>
        <v/>
      </c>
      <c r="L5" s="2"/>
      <c r="M5" s="2"/>
      <c r="N5" s="2"/>
      <c r="O5" s="2"/>
      <c r="P5" s="2"/>
    </row>
    <row r="6" spans="1:27" ht="22.95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 t="str">
        <f t="shared" ca="1" si="0"/>
        <v/>
      </c>
      <c r="L6" s="2"/>
      <c r="M6" s="2"/>
      <c r="N6" s="2"/>
      <c r="O6" s="2"/>
      <c r="P6" s="2"/>
    </row>
    <row r="7" spans="1:27" ht="22.9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 t="str">
        <f t="shared" ca="1" si="0"/>
        <v/>
      </c>
      <c r="L7" s="2"/>
      <c r="M7" s="2"/>
      <c r="N7" s="2"/>
      <c r="O7" s="2"/>
      <c r="P7" s="2"/>
    </row>
    <row r="8" spans="1:27" ht="22.9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 t="str">
        <f t="shared" ca="1" si="0"/>
        <v/>
      </c>
      <c r="L8" s="2"/>
      <c r="M8" s="2"/>
      <c r="N8" s="2"/>
      <c r="O8" s="2"/>
      <c r="P8" s="2"/>
    </row>
    <row r="9" spans="1:27" ht="22.9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 t="str">
        <f t="shared" ca="1" si="0"/>
        <v/>
      </c>
      <c r="L9" s="2"/>
      <c r="M9" s="2"/>
      <c r="N9" s="2"/>
      <c r="O9" s="2"/>
      <c r="P9" s="2"/>
    </row>
    <row r="10" spans="1:27" ht="22.9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 t="str">
        <f t="shared" ca="1" si="0"/>
        <v/>
      </c>
      <c r="L10" s="2"/>
      <c r="M10" s="2"/>
      <c r="N10" s="2"/>
      <c r="O10" s="2"/>
      <c r="P10" s="2"/>
    </row>
    <row r="11" spans="1:27" ht="22.9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 t="str">
        <f t="shared" ca="1" si="0"/>
        <v/>
      </c>
      <c r="L11" s="2"/>
      <c r="M11" s="2"/>
      <c r="N11" s="2"/>
      <c r="O11" s="2"/>
      <c r="P11" s="2"/>
    </row>
    <row r="12" spans="1:27" ht="22.9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 t="str">
        <f t="shared" ca="1" si="0"/>
        <v/>
      </c>
      <c r="L12" s="2"/>
      <c r="M12" s="2"/>
      <c r="N12" s="2"/>
      <c r="O12" s="2"/>
      <c r="P12" s="2"/>
    </row>
    <row r="13" spans="1:27" ht="22.9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 t="str">
        <f t="shared" ca="1" si="0"/>
        <v/>
      </c>
      <c r="L13" s="2"/>
      <c r="M13" s="2"/>
      <c r="N13" s="2"/>
      <c r="O13" s="2"/>
      <c r="P13" s="2"/>
    </row>
    <row r="14" spans="1:27" ht="22.9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 t="str">
        <f t="shared" ca="1" si="0"/>
        <v/>
      </c>
      <c r="L14" s="2"/>
      <c r="M14" s="2"/>
      <c r="N14" s="2"/>
      <c r="O14" s="2"/>
      <c r="P14" s="2"/>
    </row>
    <row r="15" spans="1:27" ht="22.9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 t="str">
        <f t="shared" ca="1" si="0"/>
        <v/>
      </c>
      <c r="L15" s="2"/>
      <c r="M15" s="2"/>
      <c r="N15" s="2"/>
      <c r="O15" s="2"/>
      <c r="P15" s="2"/>
    </row>
    <row r="16" spans="1:27" ht="22.9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 t="str">
        <f t="shared" ca="1" si="0"/>
        <v/>
      </c>
      <c r="L16" s="2"/>
      <c r="M16" s="2"/>
      <c r="N16" s="2"/>
      <c r="O16" s="2"/>
      <c r="P16" s="2"/>
    </row>
    <row r="17" spans="1:16" ht="22.9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 t="str">
        <f t="shared" ca="1" si="0"/>
        <v/>
      </c>
      <c r="L17" s="2"/>
      <c r="M17" s="2"/>
      <c r="N17" s="2"/>
      <c r="O17" s="2"/>
      <c r="P17" s="2"/>
    </row>
    <row r="18" spans="1:16" ht="22.9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 t="str">
        <f t="shared" ca="1" si="0"/>
        <v/>
      </c>
      <c r="L18" s="2"/>
      <c r="M18" s="2"/>
      <c r="N18" s="2"/>
      <c r="O18" s="2"/>
      <c r="P18" s="2"/>
    </row>
    <row r="19" spans="1:16" ht="22.9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 t="str">
        <f t="shared" ca="1" si="0"/>
        <v/>
      </c>
      <c r="L19" s="2"/>
      <c r="M19" s="2"/>
      <c r="N19" s="2"/>
      <c r="O19" s="2"/>
      <c r="P19" s="2"/>
    </row>
    <row r="20" spans="1:16" ht="22.9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 t="str">
        <f t="shared" ca="1" si="0"/>
        <v/>
      </c>
      <c r="L20" s="2"/>
      <c r="M20" s="2"/>
      <c r="N20" s="2"/>
      <c r="O20" s="2"/>
      <c r="P20" s="2"/>
    </row>
    <row r="21" spans="1:16" ht="22.9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 t="str">
        <f t="shared" ca="1" si="0"/>
        <v/>
      </c>
      <c r="L21" s="2"/>
      <c r="M21" s="2"/>
      <c r="N21" s="2"/>
      <c r="O21" s="2"/>
      <c r="P21" s="2"/>
    </row>
    <row r="22" spans="1:16" ht="22.9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 t="str">
        <f t="shared" ca="1" si="0"/>
        <v/>
      </c>
      <c r="L22" s="2"/>
      <c r="M22" s="2"/>
      <c r="N22" s="2"/>
      <c r="O22" s="2"/>
      <c r="P22" s="2"/>
    </row>
    <row r="23" spans="1:16" ht="22.9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 t="str">
        <f t="shared" ca="1" si="0"/>
        <v/>
      </c>
      <c r="L23" s="2"/>
      <c r="M23" s="2"/>
      <c r="N23" s="2"/>
      <c r="O23" s="2"/>
      <c r="P23" s="2"/>
    </row>
    <row r="24" spans="1:16" ht="22.9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 t="str">
        <f t="shared" ca="1" si="0"/>
        <v/>
      </c>
      <c r="L24" s="2"/>
      <c r="M24" s="2"/>
      <c r="N24" s="2"/>
      <c r="O24" s="2"/>
      <c r="P24" s="2"/>
    </row>
    <row r="25" spans="1:16" ht="22.9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 t="str">
        <f t="shared" ca="1" si="0"/>
        <v/>
      </c>
      <c r="L25" s="2"/>
      <c r="M25" s="2"/>
      <c r="N25" s="2"/>
      <c r="O25" s="2"/>
      <c r="P25" s="2"/>
    </row>
    <row r="26" spans="1:16" ht="22.9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 t="str">
        <f t="shared" ca="1" si="0"/>
        <v/>
      </c>
      <c r="L26" s="2"/>
      <c r="M26" s="2"/>
      <c r="N26" s="2"/>
      <c r="O26" s="2"/>
      <c r="P26" s="2"/>
    </row>
    <row r="27" spans="1:16" ht="22.9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 t="str">
        <f t="shared" ca="1" si="0"/>
        <v/>
      </c>
      <c r="L27" s="2"/>
      <c r="M27" s="2"/>
      <c r="N27" s="2"/>
      <c r="O27" s="2"/>
      <c r="P27" s="2"/>
    </row>
    <row r="28" spans="1:16" ht="22.9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 t="str">
        <f t="shared" ca="1" si="0"/>
        <v/>
      </c>
      <c r="L28" s="2"/>
      <c r="M28" s="2"/>
      <c r="N28" s="2"/>
      <c r="O28" s="2"/>
      <c r="P28" s="2"/>
    </row>
    <row r="29" spans="1:16" ht="22.9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 t="str">
        <f t="shared" ca="1" si="0"/>
        <v/>
      </c>
      <c r="L29" s="2"/>
      <c r="M29" s="2"/>
      <c r="N29" s="2"/>
      <c r="O29" s="2"/>
      <c r="P29" s="2"/>
    </row>
    <row r="30" spans="1:16" ht="22.9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 t="str">
        <f t="shared" ca="1" si="0"/>
        <v/>
      </c>
      <c r="L30" s="2"/>
      <c r="M30" s="2"/>
      <c r="N30" s="2"/>
      <c r="O30" s="2"/>
      <c r="P30" s="2"/>
    </row>
    <row r="31" spans="1:16" ht="22.9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 t="str">
        <f t="shared" ca="1" si="0"/>
        <v/>
      </c>
      <c r="L31" s="2"/>
      <c r="M31" s="2"/>
      <c r="N31" s="2"/>
      <c r="O31" s="2"/>
      <c r="P31" s="2"/>
    </row>
    <row r="32" spans="1:16" ht="22.9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 t="str">
        <f t="shared" ca="1" si="0"/>
        <v/>
      </c>
      <c r="L32" s="2"/>
      <c r="M32" s="2"/>
      <c r="N32" s="2"/>
      <c r="O32" s="2"/>
      <c r="P32" s="2"/>
    </row>
    <row r="33" spans="1:16" ht="22.9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 t="str">
        <f t="shared" ca="1" si="0"/>
        <v/>
      </c>
      <c r="L33" s="2"/>
      <c r="M33" s="2"/>
      <c r="N33" s="2"/>
      <c r="O33" s="2"/>
      <c r="P33" s="2"/>
    </row>
    <row r="34" spans="1:16" ht="22.9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 t="str">
        <f t="shared" ref="K34:K65" ca="1" si="1">IF(OR(H34="",I34="Closed",I34="Validated"),"",MAX(0,TODAY()-H34))</f>
        <v/>
      </c>
      <c r="L34" s="2"/>
      <c r="M34" s="2"/>
      <c r="N34" s="2"/>
      <c r="O34" s="2"/>
      <c r="P34" s="2"/>
    </row>
    <row r="35" spans="1:16" ht="22.9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 t="str">
        <f t="shared" ca="1" si="1"/>
        <v/>
      </c>
      <c r="L35" s="2"/>
      <c r="M35" s="2"/>
      <c r="N35" s="2"/>
      <c r="O35" s="2"/>
      <c r="P35" s="2"/>
    </row>
    <row r="36" spans="1:16" ht="22.9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 t="str">
        <f t="shared" ca="1" si="1"/>
        <v/>
      </c>
      <c r="L36" s="2"/>
      <c r="M36" s="2"/>
      <c r="N36" s="2"/>
      <c r="O36" s="2"/>
      <c r="P36" s="2"/>
    </row>
    <row r="37" spans="1:16" ht="22.9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 t="str">
        <f t="shared" ca="1" si="1"/>
        <v/>
      </c>
      <c r="L37" s="2"/>
      <c r="M37" s="2"/>
      <c r="N37" s="2"/>
      <c r="O37" s="2"/>
      <c r="P37" s="2"/>
    </row>
    <row r="38" spans="1:16" ht="22.9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 t="str">
        <f t="shared" ca="1" si="1"/>
        <v/>
      </c>
      <c r="L38" s="2"/>
      <c r="M38" s="2"/>
      <c r="N38" s="2"/>
      <c r="O38" s="2"/>
      <c r="P38" s="2"/>
    </row>
    <row r="39" spans="1:16" ht="22.9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 t="str">
        <f t="shared" ca="1" si="1"/>
        <v/>
      </c>
      <c r="L39" s="2"/>
      <c r="M39" s="2"/>
      <c r="N39" s="2"/>
      <c r="O39" s="2"/>
      <c r="P39" s="2"/>
    </row>
    <row r="40" spans="1:16" ht="22.9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 t="str">
        <f t="shared" ca="1" si="1"/>
        <v/>
      </c>
      <c r="L40" s="2"/>
      <c r="M40" s="2"/>
      <c r="N40" s="2"/>
      <c r="O40" s="2"/>
      <c r="P40" s="2"/>
    </row>
    <row r="41" spans="1:16" ht="22.9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 t="str">
        <f t="shared" ca="1" si="1"/>
        <v/>
      </c>
      <c r="L41" s="2"/>
      <c r="M41" s="2"/>
      <c r="N41" s="2"/>
      <c r="O41" s="2"/>
      <c r="P41" s="2"/>
    </row>
    <row r="42" spans="1:16" ht="22.9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 t="str">
        <f t="shared" ca="1" si="1"/>
        <v/>
      </c>
      <c r="L42" s="2"/>
      <c r="M42" s="2"/>
      <c r="N42" s="2"/>
      <c r="O42" s="2"/>
      <c r="P42" s="2"/>
    </row>
    <row r="43" spans="1:16" ht="22.9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 t="str">
        <f t="shared" ca="1" si="1"/>
        <v/>
      </c>
      <c r="L43" s="2"/>
      <c r="M43" s="2"/>
      <c r="N43" s="2"/>
      <c r="O43" s="2"/>
      <c r="P43" s="2"/>
    </row>
    <row r="44" spans="1:16" ht="22.9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 t="str">
        <f t="shared" ca="1" si="1"/>
        <v/>
      </c>
      <c r="L44" s="2"/>
      <c r="M44" s="2"/>
      <c r="N44" s="2"/>
      <c r="O44" s="2"/>
      <c r="P44" s="2"/>
    </row>
    <row r="45" spans="1:16" ht="22.9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 t="str">
        <f t="shared" ca="1" si="1"/>
        <v/>
      </c>
      <c r="L45" s="2"/>
      <c r="M45" s="2"/>
      <c r="N45" s="2"/>
      <c r="O45" s="2"/>
      <c r="P45" s="2"/>
    </row>
    <row r="46" spans="1:16" ht="22.9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 t="str">
        <f t="shared" ca="1" si="1"/>
        <v/>
      </c>
      <c r="L46" s="2"/>
      <c r="M46" s="2"/>
      <c r="N46" s="2"/>
      <c r="O46" s="2"/>
      <c r="P46" s="2"/>
    </row>
    <row r="47" spans="1:16" ht="22.9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 t="str">
        <f t="shared" ca="1" si="1"/>
        <v/>
      </c>
      <c r="L47" s="2"/>
      <c r="M47" s="2"/>
      <c r="N47" s="2"/>
      <c r="O47" s="2"/>
      <c r="P47" s="2"/>
    </row>
    <row r="48" spans="1:16" ht="22.9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 t="str">
        <f t="shared" ca="1" si="1"/>
        <v/>
      </c>
      <c r="L48" s="2"/>
      <c r="M48" s="2"/>
      <c r="N48" s="2"/>
      <c r="O48" s="2"/>
      <c r="P48" s="2"/>
    </row>
    <row r="49" spans="1:16" ht="22.9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 t="str">
        <f t="shared" ca="1" si="1"/>
        <v/>
      </c>
      <c r="L49" s="2"/>
      <c r="M49" s="2"/>
      <c r="N49" s="2"/>
      <c r="O49" s="2"/>
      <c r="P49" s="2"/>
    </row>
    <row r="50" spans="1:16" ht="22.9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 t="str">
        <f t="shared" ca="1" si="1"/>
        <v/>
      </c>
      <c r="L50" s="2"/>
      <c r="M50" s="2"/>
      <c r="N50" s="2"/>
      <c r="O50" s="2"/>
      <c r="P50" s="2"/>
    </row>
    <row r="51" spans="1:16" ht="22.9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 t="str">
        <f t="shared" ca="1" si="1"/>
        <v/>
      </c>
      <c r="L51" s="2"/>
      <c r="M51" s="2"/>
      <c r="N51" s="2"/>
      <c r="O51" s="2"/>
      <c r="P51" s="2"/>
    </row>
    <row r="52" spans="1:16" ht="22.9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 t="str">
        <f t="shared" ca="1" si="1"/>
        <v/>
      </c>
      <c r="L52" s="2"/>
      <c r="M52" s="2"/>
      <c r="N52" s="2"/>
      <c r="O52" s="2"/>
      <c r="P52" s="2"/>
    </row>
    <row r="53" spans="1:16" ht="22.9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 t="str">
        <f t="shared" ca="1" si="1"/>
        <v/>
      </c>
      <c r="L53" s="2"/>
      <c r="M53" s="2"/>
      <c r="N53" s="2"/>
      <c r="O53" s="2"/>
      <c r="P53" s="2"/>
    </row>
    <row r="54" spans="1:16" ht="22.9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 t="str">
        <f t="shared" ca="1" si="1"/>
        <v/>
      </c>
      <c r="L54" s="2"/>
      <c r="M54" s="2"/>
      <c r="N54" s="2"/>
      <c r="O54" s="2"/>
      <c r="P54" s="2"/>
    </row>
    <row r="55" spans="1:16" ht="22.9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 t="str">
        <f t="shared" ca="1" si="1"/>
        <v/>
      </c>
      <c r="L55" s="2"/>
      <c r="M55" s="2"/>
      <c r="N55" s="2"/>
      <c r="O55" s="2"/>
      <c r="P55" s="2"/>
    </row>
    <row r="56" spans="1:16" ht="22.9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 t="str">
        <f t="shared" ca="1" si="1"/>
        <v/>
      </c>
      <c r="L56" s="2"/>
      <c r="M56" s="2"/>
      <c r="N56" s="2"/>
      <c r="O56" s="2"/>
      <c r="P56" s="2"/>
    </row>
    <row r="57" spans="1:16" ht="22.9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 t="str">
        <f t="shared" ca="1" si="1"/>
        <v/>
      </c>
      <c r="L57" s="2"/>
      <c r="M57" s="2"/>
      <c r="N57" s="2"/>
      <c r="O57" s="2"/>
      <c r="P57" s="2"/>
    </row>
    <row r="58" spans="1:16" ht="22.9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 t="str">
        <f t="shared" ca="1" si="1"/>
        <v/>
      </c>
      <c r="L58" s="2"/>
      <c r="M58" s="2"/>
      <c r="N58" s="2"/>
      <c r="O58" s="2"/>
      <c r="P58" s="2"/>
    </row>
    <row r="59" spans="1:16" ht="22.9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 t="str">
        <f t="shared" ca="1" si="1"/>
        <v/>
      </c>
      <c r="L59" s="2"/>
      <c r="M59" s="2"/>
      <c r="N59" s="2"/>
      <c r="O59" s="2"/>
      <c r="P59" s="2"/>
    </row>
    <row r="60" spans="1:16" ht="22.9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 t="str">
        <f t="shared" ca="1" si="1"/>
        <v/>
      </c>
      <c r="L60" s="2"/>
      <c r="M60" s="2"/>
      <c r="N60" s="2"/>
      <c r="O60" s="2"/>
      <c r="P60" s="2"/>
    </row>
    <row r="61" spans="1:16" ht="22.9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 t="str">
        <f t="shared" ca="1" si="1"/>
        <v/>
      </c>
      <c r="L61" s="2"/>
      <c r="M61" s="2"/>
      <c r="N61" s="2"/>
      <c r="O61" s="2"/>
      <c r="P61" s="2"/>
    </row>
    <row r="62" spans="1:16" ht="22.9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 t="str">
        <f t="shared" ca="1" si="1"/>
        <v/>
      </c>
      <c r="L62" s="2"/>
      <c r="M62" s="2"/>
      <c r="N62" s="2"/>
      <c r="O62" s="2"/>
      <c r="P62" s="2"/>
    </row>
    <row r="63" spans="1:16" ht="22.9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 t="str">
        <f t="shared" ca="1" si="1"/>
        <v/>
      </c>
      <c r="L63" s="2"/>
      <c r="M63" s="2"/>
      <c r="N63" s="2"/>
      <c r="O63" s="2"/>
      <c r="P63" s="2"/>
    </row>
    <row r="64" spans="1:16" ht="22.9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 t="str">
        <f t="shared" ca="1" si="1"/>
        <v/>
      </c>
      <c r="L64" s="2"/>
      <c r="M64" s="2"/>
      <c r="N64" s="2"/>
      <c r="O64" s="2"/>
      <c r="P64" s="2"/>
    </row>
    <row r="65" spans="1:16" ht="22.9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 t="str">
        <f t="shared" ca="1" si="1"/>
        <v/>
      </c>
      <c r="L65" s="2"/>
      <c r="M65" s="2"/>
      <c r="N65" s="2"/>
      <c r="O65" s="2"/>
      <c r="P65" s="2"/>
    </row>
    <row r="66" spans="1:16" ht="22.9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 t="str">
        <f t="shared" ref="K66:K97" ca="1" si="2">IF(OR(H66="",I66="Closed",I66="Validated"),"",MAX(0,TODAY()-H66))</f>
        <v/>
      </c>
      <c r="L66" s="2"/>
      <c r="M66" s="2"/>
      <c r="N66" s="2"/>
      <c r="O66" s="2"/>
      <c r="P66" s="2"/>
    </row>
    <row r="67" spans="1:16" ht="22.9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 t="str">
        <f t="shared" ca="1" si="2"/>
        <v/>
      </c>
      <c r="L67" s="2"/>
      <c r="M67" s="2"/>
      <c r="N67" s="2"/>
      <c r="O67" s="2"/>
      <c r="P67" s="2"/>
    </row>
    <row r="68" spans="1:16" ht="22.9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 t="str">
        <f t="shared" ca="1" si="2"/>
        <v/>
      </c>
      <c r="L68" s="2"/>
      <c r="M68" s="2"/>
      <c r="N68" s="2"/>
      <c r="O68" s="2"/>
      <c r="P68" s="2"/>
    </row>
    <row r="69" spans="1:16" ht="22.9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 t="str">
        <f t="shared" ca="1" si="2"/>
        <v/>
      </c>
      <c r="L69" s="2"/>
      <c r="M69" s="2"/>
      <c r="N69" s="2"/>
      <c r="O69" s="2"/>
      <c r="P69" s="2"/>
    </row>
    <row r="70" spans="1:16" ht="22.9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 t="str">
        <f t="shared" ca="1" si="2"/>
        <v/>
      </c>
      <c r="L70" s="2"/>
      <c r="M70" s="2"/>
      <c r="N70" s="2"/>
      <c r="O70" s="2"/>
      <c r="P70" s="2"/>
    </row>
    <row r="71" spans="1:16" ht="22.9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 t="str">
        <f t="shared" ca="1" si="2"/>
        <v/>
      </c>
      <c r="L71" s="2"/>
      <c r="M71" s="2"/>
      <c r="N71" s="2"/>
      <c r="O71" s="2"/>
      <c r="P71" s="2"/>
    </row>
    <row r="72" spans="1:16" ht="22.9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 t="str">
        <f t="shared" ca="1" si="2"/>
        <v/>
      </c>
      <c r="L72" s="2"/>
      <c r="M72" s="2"/>
      <c r="N72" s="2"/>
      <c r="O72" s="2"/>
      <c r="P72" s="2"/>
    </row>
    <row r="73" spans="1:16" ht="22.9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 t="str">
        <f t="shared" ca="1" si="2"/>
        <v/>
      </c>
      <c r="L73" s="2"/>
      <c r="M73" s="2"/>
      <c r="N73" s="2"/>
      <c r="O73" s="2"/>
      <c r="P73" s="2"/>
    </row>
    <row r="74" spans="1:16" ht="22.9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 t="str">
        <f t="shared" ca="1" si="2"/>
        <v/>
      </c>
      <c r="L74" s="2"/>
      <c r="M74" s="2"/>
      <c r="N74" s="2"/>
      <c r="O74" s="2"/>
      <c r="P74" s="2"/>
    </row>
    <row r="75" spans="1:16" ht="22.9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 t="str">
        <f t="shared" ca="1" si="2"/>
        <v/>
      </c>
      <c r="L75" s="2"/>
      <c r="M75" s="2"/>
      <c r="N75" s="2"/>
      <c r="O75" s="2"/>
      <c r="P75" s="2"/>
    </row>
    <row r="76" spans="1:16" ht="22.9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 t="str">
        <f t="shared" ca="1" si="2"/>
        <v/>
      </c>
      <c r="L76" s="2"/>
      <c r="M76" s="2"/>
      <c r="N76" s="2"/>
      <c r="O76" s="2"/>
      <c r="P76" s="2"/>
    </row>
    <row r="77" spans="1:16" ht="22.9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 t="str">
        <f t="shared" ca="1" si="2"/>
        <v/>
      </c>
      <c r="L77" s="2"/>
      <c r="M77" s="2"/>
      <c r="N77" s="2"/>
      <c r="O77" s="2"/>
      <c r="P77" s="2"/>
    </row>
    <row r="78" spans="1:16" ht="22.9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 t="str">
        <f t="shared" ca="1" si="2"/>
        <v/>
      </c>
      <c r="L78" s="2"/>
      <c r="M78" s="2"/>
      <c r="N78" s="2"/>
      <c r="O78" s="2"/>
      <c r="P78" s="2"/>
    </row>
    <row r="79" spans="1:16" ht="22.9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 t="str">
        <f t="shared" ca="1" si="2"/>
        <v/>
      </c>
      <c r="L79" s="2"/>
      <c r="M79" s="2"/>
      <c r="N79" s="2"/>
      <c r="O79" s="2"/>
      <c r="P79" s="2"/>
    </row>
    <row r="80" spans="1:16" ht="22.9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 t="str">
        <f t="shared" ca="1" si="2"/>
        <v/>
      </c>
      <c r="L80" s="2"/>
      <c r="M80" s="2"/>
      <c r="N80" s="2"/>
      <c r="O80" s="2"/>
      <c r="P80" s="2"/>
    </row>
    <row r="81" spans="1:16" ht="22.9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 t="str">
        <f t="shared" ca="1" si="2"/>
        <v/>
      </c>
      <c r="L81" s="2"/>
      <c r="M81" s="2"/>
      <c r="N81" s="2"/>
      <c r="O81" s="2"/>
      <c r="P81" s="2"/>
    </row>
    <row r="82" spans="1:16" ht="22.9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 t="str">
        <f t="shared" ca="1" si="2"/>
        <v/>
      </c>
      <c r="L82" s="2"/>
      <c r="M82" s="2"/>
      <c r="N82" s="2"/>
      <c r="O82" s="2"/>
      <c r="P82" s="2"/>
    </row>
    <row r="83" spans="1:16" ht="22.9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 t="str">
        <f t="shared" ca="1" si="2"/>
        <v/>
      </c>
      <c r="L83" s="2"/>
      <c r="M83" s="2"/>
      <c r="N83" s="2"/>
      <c r="O83" s="2"/>
      <c r="P83" s="2"/>
    </row>
    <row r="84" spans="1:16" ht="22.9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 t="str">
        <f t="shared" ca="1" si="2"/>
        <v/>
      </c>
      <c r="L84" s="2"/>
      <c r="M84" s="2"/>
      <c r="N84" s="2"/>
      <c r="O84" s="2"/>
      <c r="P84" s="2"/>
    </row>
    <row r="85" spans="1:16" ht="22.9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 t="str">
        <f t="shared" ca="1" si="2"/>
        <v/>
      </c>
      <c r="L85" s="2"/>
      <c r="M85" s="2"/>
      <c r="N85" s="2"/>
      <c r="O85" s="2"/>
      <c r="P85" s="2"/>
    </row>
    <row r="86" spans="1:16" ht="22.9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 t="str">
        <f t="shared" ca="1" si="2"/>
        <v/>
      </c>
      <c r="L86" s="2"/>
      <c r="M86" s="2"/>
      <c r="N86" s="2"/>
      <c r="O86" s="2"/>
      <c r="P86" s="2"/>
    </row>
    <row r="87" spans="1:16" ht="22.9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 t="str">
        <f t="shared" ca="1" si="2"/>
        <v/>
      </c>
      <c r="L87" s="2"/>
      <c r="M87" s="2"/>
      <c r="N87" s="2"/>
      <c r="O87" s="2"/>
      <c r="P87" s="2"/>
    </row>
    <row r="88" spans="1:16" ht="22.9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 t="str">
        <f t="shared" ca="1" si="2"/>
        <v/>
      </c>
      <c r="L88" s="2"/>
      <c r="M88" s="2"/>
      <c r="N88" s="2"/>
      <c r="O88" s="2"/>
      <c r="P88" s="2"/>
    </row>
    <row r="89" spans="1:16" ht="22.9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 t="str">
        <f t="shared" ca="1" si="2"/>
        <v/>
      </c>
      <c r="L89" s="2"/>
      <c r="M89" s="2"/>
      <c r="N89" s="2"/>
      <c r="O89" s="2"/>
      <c r="P89" s="2"/>
    </row>
    <row r="90" spans="1:16" ht="22.9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 t="str">
        <f t="shared" ca="1" si="2"/>
        <v/>
      </c>
      <c r="L90" s="2"/>
      <c r="M90" s="2"/>
      <c r="N90" s="2"/>
      <c r="O90" s="2"/>
      <c r="P90" s="2"/>
    </row>
    <row r="91" spans="1:16" ht="22.9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 t="str">
        <f t="shared" ca="1" si="2"/>
        <v/>
      </c>
      <c r="L91" s="2"/>
      <c r="M91" s="2"/>
      <c r="N91" s="2"/>
      <c r="O91" s="2"/>
      <c r="P91" s="2"/>
    </row>
    <row r="92" spans="1:16" ht="22.9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 t="str">
        <f t="shared" ca="1" si="2"/>
        <v/>
      </c>
      <c r="L92" s="2"/>
      <c r="M92" s="2"/>
      <c r="N92" s="2"/>
      <c r="O92" s="2"/>
      <c r="P92" s="2"/>
    </row>
    <row r="93" spans="1:16" ht="22.9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 t="str">
        <f t="shared" ca="1" si="2"/>
        <v/>
      </c>
      <c r="L93" s="2"/>
      <c r="M93" s="2"/>
      <c r="N93" s="2"/>
      <c r="O93" s="2"/>
      <c r="P93" s="2"/>
    </row>
    <row r="94" spans="1:16" ht="22.9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 t="str">
        <f t="shared" ca="1" si="2"/>
        <v/>
      </c>
      <c r="L94" s="2"/>
      <c r="M94" s="2"/>
      <c r="N94" s="2"/>
      <c r="O94" s="2"/>
      <c r="P94" s="2"/>
    </row>
    <row r="95" spans="1:16" ht="22.9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 t="str">
        <f t="shared" ca="1" si="2"/>
        <v/>
      </c>
      <c r="L95" s="2"/>
      <c r="M95" s="2"/>
      <c r="N95" s="2"/>
      <c r="O95" s="2"/>
      <c r="P95" s="2"/>
    </row>
    <row r="96" spans="1:16" ht="22.9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 t="str">
        <f t="shared" ca="1" si="2"/>
        <v/>
      </c>
      <c r="L96" s="2"/>
      <c r="M96" s="2"/>
      <c r="N96" s="2"/>
      <c r="O96" s="2"/>
      <c r="P96" s="2"/>
    </row>
    <row r="97" spans="1:16" ht="22.9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 t="str">
        <f t="shared" ca="1" si="2"/>
        <v/>
      </c>
      <c r="L97" s="2"/>
      <c r="M97" s="2"/>
      <c r="N97" s="2"/>
      <c r="O97" s="2"/>
      <c r="P97" s="2"/>
    </row>
    <row r="98" spans="1:16" ht="22.9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 t="str">
        <f t="shared" ref="K98:K121" ca="1" si="3">IF(OR(H98="",I98="Closed",I98="Validated"),"",MAX(0,TODAY()-H98))</f>
        <v/>
      </c>
      <c r="L98" s="2"/>
      <c r="M98" s="2"/>
      <c r="N98" s="2"/>
      <c r="O98" s="2"/>
      <c r="P98" s="2"/>
    </row>
    <row r="99" spans="1:16" ht="22.9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 t="str">
        <f t="shared" ca="1" si="3"/>
        <v/>
      </c>
      <c r="L99" s="2"/>
      <c r="M99" s="2"/>
      <c r="N99" s="2"/>
      <c r="O99" s="2"/>
      <c r="P99" s="2"/>
    </row>
    <row r="100" spans="1:16" ht="22.9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 t="str">
        <f t="shared" ca="1" si="3"/>
        <v/>
      </c>
      <c r="L100" s="2"/>
      <c r="M100" s="2"/>
      <c r="N100" s="2"/>
      <c r="O100" s="2"/>
      <c r="P100" s="2"/>
    </row>
    <row r="101" spans="1:16" ht="22.9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 t="str">
        <f t="shared" ca="1" si="3"/>
        <v/>
      </c>
      <c r="L101" s="2"/>
      <c r="M101" s="2"/>
      <c r="N101" s="2"/>
      <c r="O101" s="2"/>
      <c r="P101" s="2"/>
    </row>
    <row r="102" spans="1:16" ht="22.9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 t="str">
        <f t="shared" ca="1" si="3"/>
        <v/>
      </c>
      <c r="L102" s="2"/>
      <c r="M102" s="2"/>
      <c r="N102" s="2"/>
      <c r="O102" s="2"/>
      <c r="P102" s="2"/>
    </row>
    <row r="103" spans="1:16" ht="22.9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 t="str">
        <f t="shared" ca="1" si="3"/>
        <v/>
      </c>
      <c r="L103" s="2"/>
      <c r="M103" s="2"/>
      <c r="N103" s="2"/>
      <c r="O103" s="2"/>
      <c r="P103" s="2"/>
    </row>
    <row r="104" spans="1:16" ht="22.9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 t="str">
        <f t="shared" ca="1" si="3"/>
        <v/>
      </c>
      <c r="L104" s="2"/>
      <c r="M104" s="2"/>
      <c r="N104" s="2"/>
      <c r="O104" s="2"/>
      <c r="P104" s="2"/>
    </row>
    <row r="105" spans="1:16" ht="22.9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 t="str">
        <f t="shared" ca="1" si="3"/>
        <v/>
      </c>
      <c r="L105" s="2"/>
      <c r="M105" s="2"/>
      <c r="N105" s="2"/>
      <c r="O105" s="2"/>
      <c r="P105" s="2"/>
    </row>
    <row r="106" spans="1:16" ht="22.9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 t="str">
        <f t="shared" ca="1" si="3"/>
        <v/>
      </c>
      <c r="L106" s="2"/>
      <c r="M106" s="2"/>
      <c r="N106" s="2"/>
      <c r="O106" s="2"/>
      <c r="P106" s="2"/>
    </row>
    <row r="107" spans="1:16" ht="22.9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 t="str">
        <f t="shared" ca="1" si="3"/>
        <v/>
      </c>
      <c r="L107" s="2"/>
      <c r="M107" s="2"/>
      <c r="N107" s="2"/>
      <c r="O107" s="2"/>
      <c r="P107" s="2"/>
    </row>
    <row r="108" spans="1:16" ht="22.9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 t="str">
        <f t="shared" ca="1" si="3"/>
        <v/>
      </c>
      <c r="L108" s="2"/>
      <c r="M108" s="2"/>
      <c r="N108" s="2"/>
      <c r="O108" s="2"/>
      <c r="P108" s="2"/>
    </row>
    <row r="109" spans="1:16" ht="22.9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 t="str">
        <f t="shared" ca="1" si="3"/>
        <v/>
      </c>
      <c r="L109" s="2"/>
      <c r="M109" s="2"/>
      <c r="N109" s="2"/>
      <c r="O109" s="2"/>
      <c r="P109" s="2"/>
    </row>
    <row r="110" spans="1:16" ht="22.9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 t="str">
        <f t="shared" ca="1" si="3"/>
        <v/>
      </c>
      <c r="L110" s="2"/>
      <c r="M110" s="2"/>
      <c r="N110" s="2"/>
      <c r="O110" s="2"/>
      <c r="P110" s="2"/>
    </row>
    <row r="111" spans="1:16" ht="22.9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 t="str">
        <f t="shared" ca="1" si="3"/>
        <v/>
      </c>
      <c r="L111" s="2"/>
      <c r="M111" s="2"/>
      <c r="N111" s="2"/>
      <c r="O111" s="2"/>
      <c r="P111" s="2"/>
    </row>
    <row r="112" spans="1:16" ht="22.9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 t="str">
        <f t="shared" ca="1" si="3"/>
        <v/>
      </c>
      <c r="L112" s="2"/>
      <c r="M112" s="2"/>
      <c r="N112" s="2"/>
      <c r="O112" s="2"/>
      <c r="P112" s="2"/>
    </row>
    <row r="113" spans="1:16" ht="22.9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 t="str">
        <f t="shared" ca="1" si="3"/>
        <v/>
      </c>
      <c r="L113" s="2"/>
      <c r="M113" s="2"/>
      <c r="N113" s="2"/>
      <c r="O113" s="2"/>
      <c r="P113" s="2"/>
    </row>
    <row r="114" spans="1:16" ht="22.9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 t="str">
        <f t="shared" ca="1" si="3"/>
        <v/>
      </c>
      <c r="L114" s="2"/>
      <c r="M114" s="2"/>
      <c r="N114" s="2"/>
      <c r="O114" s="2"/>
      <c r="P114" s="2"/>
    </row>
    <row r="115" spans="1:16" ht="22.9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 t="str">
        <f t="shared" ca="1" si="3"/>
        <v/>
      </c>
      <c r="L115" s="2"/>
      <c r="M115" s="2"/>
      <c r="N115" s="2"/>
      <c r="O115" s="2"/>
      <c r="P115" s="2"/>
    </row>
    <row r="116" spans="1:16" ht="22.9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 t="str">
        <f t="shared" ca="1" si="3"/>
        <v/>
      </c>
      <c r="L116" s="2"/>
      <c r="M116" s="2"/>
      <c r="N116" s="2"/>
      <c r="O116" s="2"/>
      <c r="P116" s="2"/>
    </row>
    <row r="117" spans="1:16" ht="22.9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 t="str">
        <f t="shared" ca="1" si="3"/>
        <v/>
      </c>
      <c r="L117" s="2"/>
      <c r="M117" s="2"/>
      <c r="N117" s="2"/>
      <c r="O117" s="2"/>
      <c r="P117" s="2"/>
    </row>
    <row r="118" spans="1:16" ht="22.9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 t="str">
        <f t="shared" ca="1" si="3"/>
        <v/>
      </c>
      <c r="L118" s="2"/>
      <c r="M118" s="2"/>
      <c r="N118" s="2"/>
      <c r="O118" s="2"/>
      <c r="P118" s="2"/>
    </row>
    <row r="119" spans="1:16" ht="22.9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 t="str">
        <f t="shared" ca="1" si="3"/>
        <v/>
      </c>
      <c r="L119" s="2"/>
      <c r="M119" s="2"/>
      <c r="N119" s="2"/>
      <c r="O119" s="2"/>
      <c r="P119" s="2"/>
    </row>
    <row r="120" spans="1:16" ht="22.9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 t="str">
        <f t="shared" ca="1" si="3"/>
        <v/>
      </c>
      <c r="L120" s="2"/>
      <c r="M120" s="2"/>
      <c r="N120" s="2"/>
      <c r="O120" s="2"/>
      <c r="P120" s="2"/>
    </row>
    <row r="121" spans="1:16" ht="22.9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 t="str">
        <f t="shared" ca="1" si="3"/>
        <v/>
      </c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K121">
    <cfRule type="expression" dxfId="17" priority="1">
      <formula>MOD(ROW(),2)=0</formula>
    </cfRule>
  </conditionalFormatting>
  <dataValidations count="1">
    <dataValidation type="list" sqref="I2:I121" xr:uid="{00000000-0002-0000-0900-000000000000}">
      <formula1>"Open,In Progress,Completed,Closed"</formula1>
    </dataValidation>
  </dataValidations>
  <hyperlinks>
    <hyperlink ref="X1" location="'Cover'!A1" display="Cover" xr:uid="{00000000-0004-0000-0900-000000000000}"/>
    <hyperlink ref="Y1" location="'Index'!A1" display="Index" xr:uid="{00000000-0004-0000-0900-000001000000}"/>
    <hyperlink ref="Z1" location="'Executive Dashboard'!A1" display="Dashboard" xr:uid="{00000000-0004-0000-0900-000002000000}"/>
    <hyperlink ref="AA1" location="'Live KPI Overview'!A1" display="Analytics" xr:uid="{00000000-0004-0000-09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50"/>
  <sheetViews>
    <sheetView showGridLines="0" workbookViewId="0">
      <pane ySplit="1" topLeftCell="A2" activePane="bottomLeft" state="frozen"/>
      <selection pane="bottomLeft" sqref="A1:J121"/>
    </sheetView>
  </sheetViews>
  <sheetFormatPr defaultRowHeight="13.8"/>
  <cols>
    <col min="1" max="3" width="17" customWidth="1"/>
    <col min="4" max="4" width="34" customWidth="1"/>
    <col min="5" max="10" width="17" customWidth="1"/>
    <col min="11" max="21" width="19" customWidth="1"/>
    <col min="24" max="27" width="13" customWidth="1"/>
  </cols>
  <sheetData>
    <row r="1" spans="1:27" ht="34.950000000000003" customHeight="1">
      <c r="A1" s="29" t="s">
        <v>191</v>
      </c>
      <c r="B1" s="29" t="s">
        <v>185</v>
      </c>
      <c r="C1" s="29" t="s">
        <v>170</v>
      </c>
      <c r="D1" s="29" t="s">
        <v>192</v>
      </c>
      <c r="E1" s="29" t="s">
        <v>99</v>
      </c>
      <c r="F1" s="29" t="s">
        <v>183</v>
      </c>
      <c r="G1" s="29" t="s">
        <v>149</v>
      </c>
      <c r="H1" s="29" t="s">
        <v>161</v>
      </c>
      <c r="I1" s="29" t="s">
        <v>184</v>
      </c>
      <c r="J1" s="29" t="s">
        <v>190</v>
      </c>
      <c r="K1" s="4"/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/>
      <c r="B2" s="30"/>
      <c r="C2" s="30"/>
      <c r="D2" s="30"/>
      <c r="E2" s="30"/>
      <c r="F2" s="30"/>
      <c r="G2" s="30"/>
      <c r="H2" s="30"/>
      <c r="I2" s="30"/>
      <c r="J2" s="30" t="str">
        <f t="shared" ref="J2:J33" ca="1" si="0">IF(OR(F2="",G2="Closed",G2="Validated"),"",MAX(0,TODAY()-F2))</f>
        <v/>
      </c>
      <c r="K2" s="7"/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/>
      <c r="B3" s="30"/>
      <c r="C3" s="30"/>
      <c r="D3" s="30"/>
      <c r="E3" s="30"/>
      <c r="F3" s="30"/>
      <c r="G3" s="30"/>
      <c r="H3" s="30"/>
      <c r="I3" s="30"/>
      <c r="J3" s="30" t="str">
        <f t="shared" ca="1" si="0"/>
        <v/>
      </c>
      <c r="K3" s="2"/>
      <c r="L3" s="2"/>
      <c r="M3" s="2"/>
      <c r="N3" s="2"/>
      <c r="O3" s="2"/>
      <c r="P3" s="2"/>
    </row>
    <row r="4" spans="1:27" ht="22.95" customHeight="1">
      <c r="A4" s="30"/>
      <c r="B4" s="30"/>
      <c r="C4" s="30"/>
      <c r="D4" s="30"/>
      <c r="E4" s="30"/>
      <c r="F4" s="30"/>
      <c r="G4" s="30"/>
      <c r="H4" s="30"/>
      <c r="I4" s="30"/>
      <c r="J4" s="30" t="str">
        <f t="shared" ca="1" si="0"/>
        <v/>
      </c>
      <c r="K4" s="2"/>
      <c r="L4" s="2"/>
      <c r="M4" s="2"/>
      <c r="N4" s="2"/>
      <c r="O4" s="2"/>
      <c r="P4" s="2"/>
    </row>
    <row r="5" spans="1:27" ht="22.95" customHeight="1">
      <c r="A5" s="30"/>
      <c r="B5" s="30"/>
      <c r="C5" s="30"/>
      <c r="D5" s="30"/>
      <c r="E5" s="30"/>
      <c r="F5" s="30"/>
      <c r="G5" s="30"/>
      <c r="H5" s="30"/>
      <c r="I5" s="30"/>
      <c r="J5" s="30" t="str">
        <f t="shared" ca="1" si="0"/>
        <v/>
      </c>
      <c r="K5" s="2"/>
      <c r="L5" s="2"/>
      <c r="M5" s="2"/>
      <c r="N5" s="2"/>
      <c r="O5" s="2"/>
      <c r="P5" s="2"/>
    </row>
    <row r="6" spans="1:27" ht="22.95" customHeight="1">
      <c r="A6" s="30"/>
      <c r="B6" s="30"/>
      <c r="C6" s="30"/>
      <c r="D6" s="30"/>
      <c r="E6" s="30"/>
      <c r="F6" s="30"/>
      <c r="G6" s="30"/>
      <c r="H6" s="30"/>
      <c r="I6" s="30"/>
      <c r="J6" s="30" t="str">
        <f t="shared" ca="1" si="0"/>
        <v/>
      </c>
      <c r="K6" s="2"/>
      <c r="L6" s="2"/>
      <c r="M6" s="2"/>
      <c r="N6" s="2"/>
      <c r="O6" s="2"/>
      <c r="P6" s="2"/>
    </row>
    <row r="7" spans="1:27" ht="22.95" customHeight="1">
      <c r="A7" s="30"/>
      <c r="B7" s="30"/>
      <c r="C7" s="30"/>
      <c r="D7" s="30"/>
      <c r="E7" s="30"/>
      <c r="F7" s="30"/>
      <c r="G7" s="30"/>
      <c r="H7" s="30"/>
      <c r="I7" s="30"/>
      <c r="J7" s="30" t="str">
        <f t="shared" ca="1" si="0"/>
        <v/>
      </c>
      <c r="K7" s="2"/>
      <c r="L7" s="2"/>
      <c r="M7" s="2"/>
      <c r="N7" s="2"/>
      <c r="O7" s="2"/>
      <c r="P7" s="2"/>
    </row>
    <row r="8" spans="1:27" ht="22.95" customHeight="1">
      <c r="A8" s="30"/>
      <c r="B8" s="30"/>
      <c r="C8" s="30"/>
      <c r="D8" s="30"/>
      <c r="E8" s="30"/>
      <c r="F8" s="30"/>
      <c r="G8" s="30"/>
      <c r="H8" s="30"/>
      <c r="I8" s="30"/>
      <c r="J8" s="30" t="str">
        <f t="shared" ca="1" si="0"/>
        <v/>
      </c>
      <c r="K8" s="2"/>
      <c r="L8" s="2"/>
      <c r="M8" s="2"/>
      <c r="N8" s="2"/>
      <c r="O8" s="2"/>
      <c r="P8" s="2"/>
    </row>
    <row r="9" spans="1:27" ht="22.95" customHeight="1">
      <c r="A9" s="30"/>
      <c r="B9" s="30"/>
      <c r="C9" s="30"/>
      <c r="D9" s="30"/>
      <c r="E9" s="30"/>
      <c r="F9" s="30"/>
      <c r="G9" s="30"/>
      <c r="H9" s="30"/>
      <c r="I9" s="30"/>
      <c r="J9" s="30" t="str">
        <f t="shared" ca="1" si="0"/>
        <v/>
      </c>
      <c r="K9" s="2"/>
      <c r="L9" s="2"/>
      <c r="M9" s="2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0"/>
      <c r="G10" s="30"/>
      <c r="H10" s="30"/>
      <c r="I10" s="30"/>
      <c r="J10" s="30" t="str">
        <f t="shared" ca="1" si="0"/>
        <v/>
      </c>
      <c r="K10" s="2"/>
      <c r="L10" s="2"/>
      <c r="M10" s="2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0"/>
      <c r="G11" s="30"/>
      <c r="H11" s="30"/>
      <c r="I11" s="30"/>
      <c r="J11" s="30" t="str">
        <f t="shared" ca="1" si="0"/>
        <v/>
      </c>
      <c r="K11" s="2"/>
      <c r="L11" s="2"/>
      <c r="M11" s="2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0"/>
      <c r="G12" s="30"/>
      <c r="H12" s="30"/>
      <c r="I12" s="30"/>
      <c r="J12" s="30" t="str">
        <f t="shared" ca="1" si="0"/>
        <v/>
      </c>
      <c r="K12" s="2"/>
      <c r="L12" s="2"/>
      <c r="M12" s="2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0"/>
      <c r="G13" s="30"/>
      <c r="H13" s="30"/>
      <c r="I13" s="30"/>
      <c r="J13" s="30" t="str">
        <f t="shared" ca="1" si="0"/>
        <v/>
      </c>
      <c r="K13" s="2"/>
      <c r="L13" s="2"/>
      <c r="M13" s="2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0"/>
      <c r="G14" s="30"/>
      <c r="H14" s="30"/>
      <c r="I14" s="30"/>
      <c r="J14" s="30" t="str">
        <f t="shared" ca="1" si="0"/>
        <v/>
      </c>
      <c r="K14" s="2"/>
      <c r="L14" s="2"/>
      <c r="M14" s="2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0"/>
      <c r="G15" s="30"/>
      <c r="H15" s="30"/>
      <c r="I15" s="30"/>
      <c r="J15" s="30" t="str">
        <f t="shared" ca="1" si="0"/>
        <v/>
      </c>
      <c r="K15" s="2"/>
      <c r="L15" s="2"/>
      <c r="M15" s="2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0"/>
      <c r="G16" s="30"/>
      <c r="H16" s="30"/>
      <c r="I16" s="30"/>
      <c r="J16" s="30" t="str">
        <f t="shared" ca="1" si="0"/>
        <v/>
      </c>
      <c r="K16" s="2"/>
      <c r="L16" s="2"/>
      <c r="M16" s="2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0"/>
      <c r="G17" s="30"/>
      <c r="H17" s="30"/>
      <c r="I17" s="30"/>
      <c r="J17" s="30" t="str">
        <f t="shared" ca="1" si="0"/>
        <v/>
      </c>
      <c r="K17" s="2"/>
      <c r="L17" s="2"/>
      <c r="M17" s="2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0"/>
      <c r="G18" s="30"/>
      <c r="H18" s="30"/>
      <c r="I18" s="30"/>
      <c r="J18" s="30" t="str">
        <f t="shared" ca="1" si="0"/>
        <v/>
      </c>
      <c r="K18" s="2"/>
      <c r="L18" s="2"/>
      <c r="M18" s="2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0"/>
      <c r="G19" s="30"/>
      <c r="H19" s="30"/>
      <c r="I19" s="30"/>
      <c r="J19" s="30" t="str">
        <f t="shared" ca="1" si="0"/>
        <v/>
      </c>
      <c r="K19" s="2"/>
      <c r="L19" s="2"/>
      <c r="M19" s="2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0"/>
      <c r="G20" s="30"/>
      <c r="H20" s="30"/>
      <c r="I20" s="30"/>
      <c r="J20" s="30" t="str">
        <f t="shared" ca="1" si="0"/>
        <v/>
      </c>
      <c r="K20" s="2"/>
      <c r="L20" s="2"/>
      <c r="M20" s="2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0"/>
      <c r="G21" s="30"/>
      <c r="H21" s="30"/>
      <c r="I21" s="30"/>
      <c r="J21" s="30" t="str">
        <f t="shared" ca="1" si="0"/>
        <v/>
      </c>
      <c r="K21" s="2"/>
      <c r="L21" s="2"/>
      <c r="M21" s="2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0"/>
      <c r="G22" s="30"/>
      <c r="H22" s="30"/>
      <c r="I22" s="30"/>
      <c r="J22" s="30" t="str">
        <f t="shared" ca="1" si="0"/>
        <v/>
      </c>
      <c r="K22" s="2"/>
      <c r="L22" s="2"/>
      <c r="M22" s="2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0"/>
      <c r="G23" s="30"/>
      <c r="H23" s="30"/>
      <c r="I23" s="30"/>
      <c r="J23" s="30" t="str">
        <f t="shared" ca="1" si="0"/>
        <v/>
      </c>
      <c r="K23" s="2"/>
      <c r="L23" s="2"/>
      <c r="M23" s="2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0"/>
      <c r="G24" s="30"/>
      <c r="H24" s="30"/>
      <c r="I24" s="30"/>
      <c r="J24" s="30" t="str">
        <f t="shared" ca="1" si="0"/>
        <v/>
      </c>
      <c r="K24" s="2"/>
      <c r="L24" s="2"/>
      <c r="M24" s="2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0"/>
      <c r="G25" s="30"/>
      <c r="H25" s="30"/>
      <c r="I25" s="30"/>
      <c r="J25" s="30" t="str">
        <f t="shared" ca="1" si="0"/>
        <v/>
      </c>
      <c r="K25" s="2"/>
      <c r="L25" s="2"/>
      <c r="M25" s="2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0"/>
      <c r="G26" s="30"/>
      <c r="H26" s="30"/>
      <c r="I26" s="30"/>
      <c r="J26" s="30" t="str">
        <f t="shared" ca="1" si="0"/>
        <v/>
      </c>
      <c r="K26" s="2"/>
      <c r="L26" s="2"/>
      <c r="M26" s="2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0"/>
      <c r="G27" s="30"/>
      <c r="H27" s="30"/>
      <c r="I27" s="30"/>
      <c r="J27" s="30" t="str">
        <f t="shared" ca="1" si="0"/>
        <v/>
      </c>
      <c r="K27" s="2"/>
      <c r="L27" s="2"/>
      <c r="M27" s="2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0"/>
      <c r="G28" s="30"/>
      <c r="H28" s="30"/>
      <c r="I28" s="30"/>
      <c r="J28" s="30" t="str">
        <f t="shared" ca="1" si="0"/>
        <v/>
      </c>
      <c r="K28" s="2"/>
      <c r="L28" s="2"/>
      <c r="M28" s="2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0"/>
      <c r="G29" s="30"/>
      <c r="H29" s="30"/>
      <c r="I29" s="30"/>
      <c r="J29" s="30" t="str">
        <f t="shared" ca="1" si="0"/>
        <v/>
      </c>
      <c r="K29" s="2"/>
      <c r="L29" s="2"/>
      <c r="M29" s="2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0"/>
      <c r="G30" s="30"/>
      <c r="H30" s="30"/>
      <c r="I30" s="30"/>
      <c r="J30" s="30" t="str">
        <f t="shared" ca="1" si="0"/>
        <v/>
      </c>
      <c r="K30" s="2"/>
      <c r="L30" s="2"/>
      <c r="M30" s="2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0"/>
      <c r="G31" s="30"/>
      <c r="H31" s="30"/>
      <c r="I31" s="30"/>
      <c r="J31" s="30" t="str">
        <f t="shared" ca="1" si="0"/>
        <v/>
      </c>
      <c r="K31" s="2"/>
      <c r="L31" s="2"/>
      <c r="M31" s="2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0"/>
      <c r="G32" s="30"/>
      <c r="H32" s="30"/>
      <c r="I32" s="30"/>
      <c r="J32" s="30" t="str">
        <f t="shared" ca="1" si="0"/>
        <v/>
      </c>
      <c r="K32" s="2"/>
      <c r="L32" s="2"/>
      <c r="M32" s="2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0"/>
      <c r="G33" s="30"/>
      <c r="H33" s="30"/>
      <c r="I33" s="30"/>
      <c r="J33" s="30" t="str">
        <f t="shared" ca="1" si="0"/>
        <v/>
      </c>
      <c r="K33" s="2"/>
      <c r="L33" s="2"/>
      <c r="M33" s="2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0"/>
      <c r="G34" s="30"/>
      <c r="H34" s="30"/>
      <c r="I34" s="30"/>
      <c r="J34" s="30" t="str">
        <f t="shared" ref="J34:J65" ca="1" si="1">IF(OR(F34="",G34="Closed",G34="Validated"),"",MAX(0,TODAY()-F34))</f>
        <v/>
      </c>
      <c r="K34" s="2"/>
      <c r="L34" s="2"/>
      <c r="M34" s="2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0"/>
      <c r="G35" s="30"/>
      <c r="H35" s="30"/>
      <c r="I35" s="30"/>
      <c r="J35" s="30" t="str">
        <f t="shared" ca="1" si="1"/>
        <v/>
      </c>
      <c r="K35" s="2"/>
      <c r="L35" s="2"/>
      <c r="M35" s="2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0"/>
      <c r="G36" s="30"/>
      <c r="H36" s="30"/>
      <c r="I36" s="30"/>
      <c r="J36" s="30" t="str">
        <f t="shared" ca="1" si="1"/>
        <v/>
      </c>
      <c r="K36" s="2"/>
      <c r="L36" s="2"/>
      <c r="M36" s="2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0"/>
      <c r="G37" s="30"/>
      <c r="H37" s="30"/>
      <c r="I37" s="30"/>
      <c r="J37" s="30" t="str">
        <f t="shared" ca="1" si="1"/>
        <v/>
      </c>
      <c r="K37" s="2"/>
      <c r="L37" s="2"/>
      <c r="M37" s="2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0"/>
      <c r="G38" s="30"/>
      <c r="H38" s="30"/>
      <c r="I38" s="30"/>
      <c r="J38" s="30" t="str">
        <f t="shared" ca="1" si="1"/>
        <v/>
      </c>
      <c r="K38" s="2"/>
      <c r="L38" s="2"/>
      <c r="M38" s="2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0"/>
      <c r="G39" s="30"/>
      <c r="H39" s="30"/>
      <c r="I39" s="30"/>
      <c r="J39" s="30" t="str">
        <f t="shared" ca="1" si="1"/>
        <v/>
      </c>
      <c r="K39" s="2"/>
      <c r="L39" s="2"/>
      <c r="M39" s="2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0"/>
      <c r="G40" s="30"/>
      <c r="H40" s="30"/>
      <c r="I40" s="30"/>
      <c r="J40" s="30" t="str">
        <f t="shared" ca="1" si="1"/>
        <v/>
      </c>
      <c r="K40" s="2"/>
      <c r="L40" s="2"/>
      <c r="M40" s="2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0"/>
      <c r="G41" s="30"/>
      <c r="H41" s="30"/>
      <c r="I41" s="30"/>
      <c r="J41" s="30" t="str">
        <f t="shared" ca="1" si="1"/>
        <v/>
      </c>
      <c r="K41" s="2"/>
      <c r="L41" s="2"/>
      <c r="M41" s="2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0"/>
      <c r="G42" s="30"/>
      <c r="H42" s="30"/>
      <c r="I42" s="30"/>
      <c r="J42" s="30" t="str">
        <f t="shared" ca="1" si="1"/>
        <v/>
      </c>
      <c r="K42" s="2"/>
      <c r="L42" s="2"/>
      <c r="M42" s="2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0"/>
      <c r="G43" s="30"/>
      <c r="H43" s="30"/>
      <c r="I43" s="30"/>
      <c r="J43" s="30" t="str">
        <f t="shared" ca="1" si="1"/>
        <v/>
      </c>
      <c r="K43" s="2"/>
      <c r="L43" s="2"/>
      <c r="M43" s="2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0"/>
      <c r="G44" s="30"/>
      <c r="H44" s="30"/>
      <c r="I44" s="30"/>
      <c r="J44" s="30" t="str">
        <f t="shared" ca="1" si="1"/>
        <v/>
      </c>
      <c r="K44" s="2"/>
      <c r="L44" s="2"/>
      <c r="M44" s="2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0"/>
      <c r="G45" s="30"/>
      <c r="H45" s="30"/>
      <c r="I45" s="30"/>
      <c r="J45" s="30" t="str">
        <f t="shared" ca="1" si="1"/>
        <v/>
      </c>
      <c r="K45" s="2"/>
      <c r="L45" s="2"/>
      <c r="M45" s="2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0"/>
      <c r="G46" s="30"/>
      <c r="H46" s="30"/>
      <c r="I46" s="30"/>
      <c r="J46" s="30" t="str">
        <f t="shared" ca="1" si="1"/>
        <v/>
      </c>
      <c r="K46" s="2"/>
      <c r="L46" s="2"/>
      <c r="M46" s="2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0"/>
      <c r="G47" s="30"/>
      <c r="H47" s="30"/>
      <c r="I47" s="30"/>
      <c r="J47" s="30" t="str">
        <f t="shared" ca="1" si="1"/>
        <v/>
      </c>
      <c r="K47" s="2"/>
      <c r="L47" s="2"/>
      <c r="M47" s="2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0"/>
      <c r="G48" s="30"/>
      <c r="H48" s="30"/>
      <c r="I48" s="30"/>
      <c r="J48" s="30" t="str">
        <f t="shared" ca="1" si="1"/>
        <v/>
      </c>
      <c r="K48" s="2"/>
      <c r="L48" s="2"/>
      <c r="M48" s="2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0"/>
      <c r="G49" s="30"/>
      <c r="H49" s="30"/>
      <c r="I49" s="30"/>
      <c r="J49" s="30" t="str">
        <f t="shared" ca="1" si="1"/>
        <v/>
      </c>
      <c r="K49" s="2"/>
      <c r="L49" s="2"/>
      <c r="M49" s="2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0"/>
      <c r="G50" s="30"/>
      <c r="H50" s="30"/>
      <c r="I50" s="30"/>
      <c r="J50" s="30" t="str">
        <f t="shared" ca="1" si="1"/>
        <v/>
      </c>
      <c r="K50" s="2"/>
      <c r="L50" s="2"/>
      <c r="M50" s="2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0"/>
      <c r="G51" s="30"/>
      <c r="H51" s="30"/>
      <c r="I51" s="30"/>
      <c r="J51" s="30" t="str">
        <f t="shared" ca="1" si="1"/>
        <v/>
      </c>
      <c r="K51" s="2"/>
      <c r="L51" s="2"/>
      <c r="M51" s="2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0"/>
      <c r="G52" s="30"/>
      <c r="H52" s="30"/>
      <c r="I52" s="30"/>
      <c r="J52" s="30" t="str">
        <f t="shared" ca="1" si="1"/>
        <v/>
      </c>
      <c r="K52" s="2"/>
      <c r="L52" s="2"/>
      <c r="M52" s="2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0"/>
      <c r="G53" s="30"/>
      <c r="H53" s="30"/>
      <c r="I53" s="30"/>
      <c r="J53" s="30" t="str">
        <f t="shared" ca="1" si="1"/>
        <v/>
      </c>
      <c r="K53" s="2"/>
      <c r="L53" s="2"/>
      <c r="M53" s="2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0"/>
      <c r="G54" s="30"/>
      <c r="H54" s="30"/>
      <c r="I54" s="30"/>
      <c r="J54" s="30" t="str">
        <f t="shared" ca="1" si="1"/>
        <v/>
      </c>
      <c r="K54" s="2"/>
      <c r="L54" s="2"/>
      <c r="M54" s="2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0"/>
      <c r="G55" s="30"/>
      <c r="H55" s="30"/>
      <c r="I55" s="30"/>
      <c r="J55" s="30" t="str">
        <f t="shared" ca="1" si="1"/>
        <v/>
      </c>
      <c r="K55" s="2"/>
      <c r="L55" s="2"/>
      <c r="M55" s="2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0"/>
      <c r="G56" s="30"/>
      <c r="H56" s="30"/>
      <c r="I56" s="30"/>
      <c r="J56" s="30" t="str">
        <f t="shared" ca="1" si="1"/>
        <v/>
      </c>
      <c r="K56" s="2"/>
      <c r="L56" s="2"/>
      <c r="M56" s="2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0"/>
      <c r="G57" s="30"/>
      <c r="H57" s="30"/>
      <c r="I57" s="30"/>
      <c r="J57" s="30" t="str">
        <f t="shared" ca="1" si="1"/>
        <v/>
      </c>
      <c r="K57" s="2"/>
      <c r="L57" s="2"/>
      <c r="M57" s="2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0"/>
      <c r="G58" s="30"/>
      <c r="H58" s="30"/>
      <c r="I58" s="30"/>
      <c r="J58" s="30" t="str">
        <f t="shared" ca="1" si="1"/>
        <v/>
      </c>
      <c r="K58" s="2"/>
      <c r="L58" s="2"/>
      <c r="M58" s="2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0"/>
      <c r="G59" s="30"/>
      <c r="H59" s="30"/>
      <c r="I59" s="30"/>
      <c r="J59" s="30" t="str">
        <f t="shared" ca="1" si="1"/>
        <v/>
      </c>
      <c r="K59" s="2"/>
      <c r="L59" s="2"/>
      <c r="M59" s="2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0"/>
      <c r="G60" s="30"/>
      <c r="H60" s="30"/>
      <c r="I60" s="30"/>
      <c r="J60" s="30" t="str">
        <f t="shared" ca="1" si="1"/>
        <v/>
      </c>
      <c r="K60" s="2"/>
      <c r="L60" s="2"/>
      <c r="M60" s="2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0"/>
      <c r="G61" s="30"/>
      <c r="H61" s="30"/>
      <c r="I61" s="30"/>
      <c r="J61" s="30" t="str">
        <f t="shared" ca="1" si="1"/>
        <v/>
      </c>
      <c r="K61" s="2"/>
      <c r="L61" s="2"/>
      <c r="M61" s="2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0"/>
      <c r="G62" s="30"/>
      <c r="H62" s="30"/>
      <c r="I62" s="30"/>
      <c r="J62" s="30" t="str">
        <f t="shared" ca="1" si="1"/>
        <v/>
      </c>
      <c r="K62" s="2"/>
      <c r="L62" s="2"/>
      <c r="M62" s="2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0"/>
      <c r="G63" s="30"/>
      <c r="H63" s="30"/>
      <c r="I63" s="30"/>
      <c r="J63" s="30" t="str">
        <f t="shared" ca="1" si="1"/>
        <v/>
      </c>
      <c r="K63" s="2"/>
      <c r="L63" s="2"/>
      <c r="M63" s="2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0"/>
      <c r="G64" s="30"/>
      <c r="H64" s="30"/>
      <c r="I64" s="30"/>
      <c r="J64" s="30" t="str">
        <f t="shared" ca="1" si="1"/>
        <v/>
      </c>
      <c r="K64" s="2"/>
      <c r="L64" s="2"/>
      <c r="M64" s="2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0"/>
      <c r="G65" s="30"/>
      <c r="H65" s="30"/>
      <c r="I65" s="30"/>
      <c r="J65" s="30" t="str">
        <f t="shared" ca="1" si="1"/>
        <v/>
      </c>
      <c r="K65" s="2"/>
      <c r="L65" s="2"/>
      <c r="M65" s="2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0"/>
      <c r="G66" s="30"/>
      <c r="H66" s="30"/>
      <c r="I66" s="30"/>
      <c r="J66" s="30" t="str">
        <f t="shared" ref="J66:J97" ca="1" si="2">IF(OR(F66="",G66="Closed",G66="Validated"),"",MAX(0,TODAY()-F66))</f>
        <v/>
      </c>
      <c r="K66" s="2"/>
      <c r="L66" s="2"/>
      <c r="M66" s="2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0"/>
      <c r="G67" s="30"/>
      <c r="H67" s="30"/>
      <c r="I67" s="30"/>
      <c r="J67" s="30" t="str">
        <f t="shared" ca="1" si="2"/>
        <v/>
      </c>
      <c r="K67" s="2"/>
      <c r="L67" s="2"/>
      <c r="M67" s="2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0"/>
      <c r="G68" s="30"/>
      <c r="H68" s="30"/>
      <c r="I68" s="30"/>
      <c r="J68" s="30" t="str">
        <f t="shared" ca="1" si="2"/>
        <v/>
      </c>
      <c r="K68" s="2"/>
      <c r="L68" s="2"/>
      <c r="M68" s="2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0"/>
      <c r="G69" s="30"/>
      <c r="H69" s="30"/>
      <c r="I69" s="30"/>
      <c r="J69" s="30" t="str">
        <f t="shared" ca="1" si="2"/>
        <v/>
      </c>
      <c r="K69" s="2"/>
      <c r="L69" s="2"/>
      <c r="M69" s="2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0"/>
      <c r="G70" s="30"/>
      <c r="H70" s="30"/>
      <c r="I70" s="30"/>
      <c r="J70" s="30" t="str">
        <f t="shared" ca="1" si="2"/>
        <v/>
      </c>
      <c r="K70" s="2"/>
      <c r="L70" s="2"/>
      <c r="M70" s="2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0"/>
      <c r="G71" s="30"/>
      <c r="H71" s="30"/>
      <c r="I71" s="30"/>
      <c r="J71" s="30" t="str">
        <f t="shared" ca="1" si="2"/>
        <v/>
      </c>
      <c r="K71" s="2"/>
      <c r="L71" s="2"/>
      <c r="M71" s="2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0"/>
      <c r="G72" s="30"/>
      <c r="H72" s="30"/>
      <c r="I72" s="30"/>
      <c r="J72" s="30" t="str">
        <f t="shared" ca="1" si="2"/>
        <v/>
      </c>
      <c r="K72" s="2"/>
      <c r="L72" s="2"/>
      <c r="M72" s="2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0"/>
      <c r="G73" s="30"/>
      <c r="H73" s="30"/>
      <c r="I73" s="30"/>
      <c r="J73" s="30" t="str">
        <f t="shared" ca="1" si="2"/>
        <v/>
      </c>
      <c r="K73" s="2"/>
      <c r="L73" s="2"/>
      <c r="M73" s="2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0"/>
      <c r="G74" s="30"/>
      <c r="H74" s="30"/>
      <c r="I74" s="30"/>
      <c r="J74" s="30" t="str">
        <f t="shared" ca="1" si="2"/>
        <v/>
      </c>
      <c r="K74" s="2"/>
      <c r="L74" s="2"/>
      <c r="M74" s="2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0"/>
      <c r="G75" s="30"/>
      <c r="H75" s="30"/>
      <c r="I75" s="30"/>
      <c r="J75" s="30" t="str">
        <f t="shared" ca="1" si="2"/>
        <v/>
      </c>
      <c r="K75" s="2"/>
      <c r="L75" s="2"/>
      <c r="M75" s="2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0"/>
      <c r="G76" s="30"/>
      <c r="H76" s="30"/>
      <c r="I76" s="30"/>
      <c r="J76" s="30" t="str">
        <f t="shared" ca="1" si="2"/>
        <v/>
      </c>
      <c r="K76" s="2"/>
      <c r="L76" s="2"/>
      <c r="M76" s="2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0"/>
      <c r="G77" s="30"/>
      <c r="H77" s="30"/>
      <c r="I77" s="30"/>
      <c r="J77" s="30" t="str">
        <f t="shared" ca="1" si="2"/>
        <v/>
      </c>
      <c r="K77" s="2"/>
      <c r="L77" s="2"/>
      <c r="M77" s="2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0"/>
      <c r="G78" s="30"/>
      <c r="H78" s="30"/>
      <c r="I78" s="30"/>
      <c r="J78" s="30" t="str">
        <f t="shared" ca="1" si="2"/>
        <v/>
      </c>
      <c r="K78" s="2"/>
      <c r="L78" s="2"/>
      <c r="M78" s="2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0"/>
      <c r="G79" s="30"/>
      <c r="H79" s="30"/>
      <c r="I79" s="30"/>
      <c r="J79" s="30" t="str">
        <f t="shared" ca="1" si="2"/>
        <v/>
      </c>
      <c r="K79" s="2"/>
      <c r="L79" s="2"/>
      <c r="M79" s="2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0"/>
      <c r="G80" s="30"/>
      <c r="H80" s="30"/>
      <c r="I80" s="30"/>
      <c r="J80" s="30" t="str">
        <f t="shared" ca="1" si="2"/>
        <v/>
      </c>
      <c r="K80" s="2"/>
      <c r="L80" s="2"/>
      <c r="M80" s="2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0"/>
      <c r="G81" s="30"/>
      <c r="H81" s="30"/>
      <c r="I81" s="30"/>
      <c r="J81" s="30" t="str">
        <f t="shared" ca="1" si="2"/>
        <v/>
      </c>
      <c r="K81" s="2"/>
      <c r="L81" s="2"/>
      <c r="M81" s="2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0"/>
      <c r="G82" s="30"/>
      <c r="H82" s="30"/>
      <c r="I82" s="30"/>
      <c r="J82" s="30" t="str">
        <f t="shared" ca="1" si="2"/>
        <v/>
      </c>
      <c r="K82" s="2"/>
      <c r="L82" s="2"/>
      <c r="M82" s="2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0"/>
      <c r="G83" s="30"/>
      <c r="H83" s="30"/>
      <c r="I83" s="30"/>
      <c r="J83" s="30" t="str">
        <f t="shared" ca="1" si="2"/>
        <v/>
      </c>
      <c r="K83" s="2"/>
      <c r="L83" s="2"/>
      <c r="M83" s="2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0"/>
      <c r="G84" s="30"/>
      <c r="H84" s="30"/>
      <c r="I84" s="30"/>
      <c r="J84" s="30" t="str">
        <f t="shared" ca="1" si="2"/>
        <v/>
      </c>
      <c r="K84" s="2"/>
      <c r="L84" s="2"/>
      <c r="M84" s="2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0"/>
      <c r="G85" s="30"/>
      <c r="H85" s="30"/>
      <c r="I85" s="30"/>
      <c r="J85" s="30" t="str">
        <f t="shared" ca="1" si="2"/>
        <v/>
      </c>
      <c r="K85" s="2"/>
      <c r="L85" s="2"/>
      <c r="M85" s="2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0"/>
      <c r="G86" s="30"/>
      <c r="H86" s="30"/>
      <c r="I86" s="30"/>
      <c r="J86" s="30" t="str">
        <f t="shared" ca="1" si="2"/>
        <v/>
      </c>
      <c r="K86" s="2"/>
      <c r="L86" s="2"/>
      <c r="M86" s="2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0"/>
      <c r="G87" s="30"/>
      <c r="H87" s="30"/>
      <c r="I87" s="30"/>
      <c r="J87" s="30" t="str">
        <f t="shared" ca="1" si="2"/>
        <v/>
      </c>
      <c r="K87" s="2"/>
      <c r="L87" s="2"/>
      <c r="M87" s="2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0"/>
      <c r="G88" s="30"/>
      <c r="H88" s="30"/>
      <c r="I88" s="30"/>
      <c r="J88" s="30" t="str">
        <f t="shared" ca="1" si="2"/>
        <v/>
      </c>
      <c r="K88" s="2"/>
      <c r="L88" s="2"/>
      <c r="M88" s="2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0"/>
      <c r="G89" s="30"/>
      <c r="H89" s="30"/>
      <c r="I89" s="30"/>
      <c r="J89" s="30" t="str">
        <f t="shared" ca="1" si="2"/>
        <v/>
      </c>
      <c r="K89" s="2"/>
      <c r="L89" s="2"/>
      <c r="M89" s="2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0"/>
      <c r="G90" s="30"/>
      <c r="H90" s="30"/>
      <c r="I90" s="30"/>
      <c r="J90" s="30" t="str">
        <f t="shared" ca="1" si="2"/>
        <v/>
      </c>
      <c r="K90" s="2"/>
      <c r="L90" s="2"/>
      <c r="M90" s="2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0"/>
      <c r="G91" s="30"/>
      <c r="H91" s="30"/>
      <c r="I91" s="30"/>
      <c r="J91" s="30" t="str">
        <f t="shared" ca="1" si="2"/>
        <v/>
      </c>
      <c r="K91" s="2"/>
      <c r="L91" s="2"/>
      <c r="M91" s="2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0"/>
      <c r="G92" s="30"/>
      <c r="H92" s="30"/>
      <c r="I92" s="30"/>
      <c r="J92" s="30" t="str">
        <f t="shared" ca="1" si="2"/>
        <v/>
      </c>
      <c r="K92" s="2"/>
      <c r="L92" s="2"/>
      <c r="M92" s="2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0"/>
      <c r="G93" s="30"/>
      <c r="H93" s="30"/>
      <c r="I93" s="30"/>
      <c r="J93" s="30" t="str">
        <f t="shared" ca="1" si="2"/>
        <v/>
      </c>
      <c r="K93" s="2"/>
      <c r="L93" s="2"/>
      <c r="M93" s="2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0"/>
      <c r="G94" s="30"/>
      <c r="H94" s="30"/>
      <c r="I94" s="30"/>
      <c r="J94" s="30" t="str">
        <f t="shared" ca="1" si="2"/>
        <v/>
      </c>
      <c r="K94" s="2"/>
      <c r="L94" s="2"/>
      <c r="M94" s="2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0"/>
      <c r="G95" s="30"/>
      <c r="H95" s="30"/>
      <c r="I95" s="30"/>
      <c r="J95" s="30" t="str">
        <f t="shared" ca="1" si="2"/>
        <v/>
      </c>
      <c r="K95" s="2"/>
      <c r="L95" s="2"/>
      <c r="M95" s="2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0"/>
      <c r="G96" s="30"/>
      <c r="H96" s="30"/>
      <c r="I96" s="30"/>
      <c r="J96" s="30" t="str">
        <f t="shared" ca="1" si="2"/>
        <v/>
      </c>
      <c r="K96" s="2"/>
      <c r="L96" s="2"/>
      <c r="M96" s="2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0"/>
      <c r="G97" s="30"/>
      <c r="H97" s="30"/>
      <c r="I97" s="30"/>
      <c r="J97" s="30" t="str">
        <f t="shared" ca="1" si="2"/>
        <v/>
      </c>
      <c r="K97" s="2"/>
      <c r="L97" s="2"/>
      <c r="M97" s="2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0"/>
      <c r="G98" s="30"/>
      <c r="H98" s="30"/>
      <c r="I98" s="30"/>
      <c r="J98" s="30" t="str">
        <f t="shared" ref="J98:J121" ca="1" si="3">IF(OR(F98="",G98="Closed",G98="Validated"),"",MAX(0,TODAY()-F98))</f>
        <v/>
      </c>
      <c r="K98" s="2"/>
      <c r="L98" s="2"/>
      <c r="M98" s="2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0"/>
      <c r="G99" s="30"/>
      <c r="H99" s="30"/>
      <c r="I99" s="30"/>
      <c r="J99" s="30" t="str">
        <f t="shared" ca="1" si="3"/>
        <v/>
      </c>
      <c r="K99" s="2"/>
      <c r="L99" s="2"/>
      <c r="M99" s="2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 t="str">
        <f t="shared" ca="1" si="3"/>
        <v/>
      </c>
      <c r="K100" s="2"/>
      <c r="L100" s="2"/>
      <c r="M100" s="2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 t="str">
        <f t="shared" ca="1" si="3"/>
        <v/>
      </c>
      <c r="K101" s="2"/>
      <c r="L101" s="2"/>
      <c r="M101" s="2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 t="str">
        <f t="shared" ca="1" si="3"/>
        <v/>
      </c>
      <c r="K102" s="2"/>
      <c r="L102" s="2"/>
      <c r="M102" s="2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 t="str">
        <f t="shared" ca="1" si="3"/>
        <v/>
      </c>
      <c r="K103" s="2"/>
      <c r="L103" s="2"/>
      <c r="M103" s="2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 t="str">
        <f t="shared" ca="1" si="3"/>
        <v/>
      </c>
      <c r="K104" s="2"/>
      <c r="L104" s="2"/>
      <c r="M104" s="2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 t="str">
        <f t="shared" ca="1" si="3"/>
        <v/>
      </c>
      <c r="K105" s="2"/>
      <c r="L105" s="2"/>
      <c r="M105" s="2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 t="str">
        <f t="shared" ca="1" si="3"/>
        <v/>
      </c>
      <c r="K106" s="2"/>
      <c r="L106" s="2"/>
      <c r="M106" s="2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 t="str">
        <f t="shared" ca="1" si="3"/>
        <v/>
      </c>
      <c r="K107" s="2"/>
      <c r="L107" s="2"/>
      <c r="M107" s="2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 t="str">
        <f t="shared" ca="1" si="3"/>
        <v/>
      </c>
      <c r="K108" s="2"/>
      <c r="L108" s="2"/>
      <c r="M108" s="2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 t="str">
        <f t="shared" ca="1" si="3"/>
        <v/>
      </c>
      <c r="K109" s="2"/>
      <c r="L109" s="2"/>
      <c r="M109" s="2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 t="str">
        <f t="shared" ca="1" si="3"/>
        <v/>
      </c>
      <c r="K110" s="2"/>
      <c r="L110" s="2"/>
      <c r="M110" s="2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 t="str">
        <f t="shared" ca="1" si="3"/>
        <v/>
      </c>
      <c r="K111" s="2"/>
      <c r="L111" s="2"/>
      <c r="M111" s="2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 t="str">
        <f t="shared" ca="1" si="3"/>
        <v/>
      </c>
      <c r="K112" s="2"/>
      <c r="L112" s="2"/>
      <c r="M112" s="2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 t="str">
        <f t="shared" ca="1" si="3"/>
        <v/>
      </c>
      <c r="K113" s="2"/>
      <c r="L113" s="2"/>
      <c r="M113" s="2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 t="str">
        <f t="shared" ca="1" si="3"/>
        <v/>
      </c>
      <c r="K114" s="2"/>
      <c r="L114" s="2"/>
      <c r="M114" s="2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 t="str">
        <f t="shared" ca="1" si="3"/>
        <v/>
      </c>
      <c r="K115" s="2"/>
      <c r="L115" s="2"/>
      <c r="M115" s="2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 t="str">
        <f t="shared" ca="1" si="3"/>
        <v/>
      </c>
      <c r="K116" s="2"/>
      <c r="L116" s="2"/>
      <c r="M116" s="2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 t="str">
        <f t="shared" ca="1" si="3"/>
        <v/>
      </c>
      <c r="K117" s="2"/>
      <c r="L117" s="2"/>
      <c r="M117" s="2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 t="str">
        <f t="shared" ca="1" si="3"/>
        <v/>
      </c>
      <c r="K118" s="2"/>
      <c r="L118" s="2"/>
      <c r="M118" s="2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 t="str">
        <f t="shared" ca="1" si="3"/>
        <v/>
      </c>
      <c r="K119" s="2"/>
      <c r="L119" s="2"/>
      <c r="M119" s="2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 t="str">
        <f t="shared" ca="1" si="3"/>
        <v/>
      </c>
      <c r="K120" s="2"/>
      <c r="L120" s="2"/>
      <c r="M120" s="2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 t="str">
        <f t="shared" ca="1" si="3"/>
        <v/>
      </c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J121">
    <cfRule type="expression" dxfId="16" priority="1">
      <formula>MOD(ROW(),2)=0</formula>
    </cfRule>
  </conditionalFormatting>
  <dataValidations count="1">
    <dataValidation type="list" sqref="G2:G121" xr:uid="{00000000-0002-0000-0A00-000000000000}">
      <formula1>"Open,In Progress,Completed,Validated"</formula1>
    </dataValidation>
  </dataValidations>
  <hyperlinks>
    <hyperlink ref="X1" location="'Cover'!A1" display="Cover" xr:uid="{00000000-0004-0000-0A00-000000000000}"/>
    <hyperlink ref="Y1" location="'Index'!A1" display="Index" xr:uid="{00000000-0004-0000-0A00-000001000000}"/>
    <hyperlink ref="Z1" location="'Executive Dashboard'!A1" display="Dashboard" xr:uid="{00000000-0004-0000-0A00-000002000000}"/>
    <hyperlink ref="AA1" location="'Live KPI Overview'!A1" display="Analytics" xr:uid="{00000000-0004-0000-0A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50"/>
  <sheetViews>
    <sheetView showGridLines="0" workbookViewId="0">
      <pane ySplit="1" topLeftCell="A104" activePane="bottomLeft" state="frozen"/>
      <selection pane="bottomLeft" sqref="A1:G121"/>
    </sheetView>
  </sheetViews>
  <sheetFormatPr defaultRowHeight="13.8"/>
  <cols>
    <col min="1" max="4" width="17" customWidth="1"/>
    <col min="5" max="5" width="19.19921875" customWidth="1"/>
    <col min="6" max="7" width="17" customWidth="1"/>
    <col min="8" max="21" width="19" customWidth="1"/>
    <col min="24" max="27" width="13" customWidth="1"/>
  </cols>
  <sheetData>
    <row r="1" spans="1:27" ht="34.950000000000003" customHeight="1">
      <c r="A1" s="29" t="s">
        <v>193</v>
      </c>
      <c r="B1" s="29" t="s">
        <v>150</v>
      </c>
      <c r="C1" s="29" t="s">
        <v>194</v>
      </c>
      <c r="D1" s="29" t="s">
        <v>195</v>
      </c>
      <c r="E1" s="29" t="s">
        <v>196</v>
      </c>
      <c r="F1" s="29" t="s">
        <v>149</v>
      </c>
      <c r="G1" s="29" t="s">
        <v>197</v>
      </c>
      <c r="H1" s="4"/>
      <c r="I1" s="4"/>
      <c r="J1" s="4"/>
      <c r="K1" s="4"/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/>
      <c r="B2" s="30"/>
      <c r="C2" s="30"/>
      <c r="D2" s="30"/>
      <c r="E2" s="30"/>
      <c r="F2" s="30"/>
      <c r="G2" s="30" t="str">
        <f t="shared" ref="G2:G33" ca="1" si="0">IF(E2="","",IF(AND(E2&lt;TODAY(),F2&lt;&gt;"Closed"),"EXPIRED","Current"))</f>
        <v/>
      </c>
      <c r="H2" s="7"/>
      <c r="I2" s="7"/>
      <c r="J2" s="7"/>
      <c r="K2" s="7"/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/>
      <c r="B3" s="30"/>
      <c r="C3" s="30"/>
      <c r="D3" s="30"/>
      <c r="E3" s="30"/>
      <c r="F3" s="30"/>
      <c r="G3" s="30" t="str">
        <f t="shared" ca="1" si="0"/>
        <v/>
      </c>
      <c r="H3" s="2"/>
      <c r="I3" s="2"/>
      <c r="J3" s="2"/>
      <c r="K3" s="2"/>
      <c r="L3" s="2"/>
      <c r="M3" s="2"/>
      <c r="N3" s="2"/>
      <c r="O3" s="2"/>
      <c r="P3" s="2"/>
    </row>
    <row r="4" spans="1:27" ht="22.95" customHeight="1">
      <c r="A4" s="30"/>
      <c r="B4" s="30"/>
      <c r="C4" s="30"/>
      <c r="D4" s="30"/>
      <c r="E4" s="30"/>
      <c r="F4" s="30"/>
      <c r="G4" s="30" t="str">
        <f t="shared" ca="1" si="0"/>
        <v/>
      </c>
      <c r="H4" s="2"/>
      <c r="I4" s="2"/>
      <c r="J4" s="2"/>
      <c r="K4" s="2"/>
      <c r="L4" s="2"/>
      <c r="M4" s="2"/>
      <c r="N4" s="2"/>
      <c r="O4" s="2"/>
      <c r="P4" s="2"/>
    </row>
    <row r="5" spans="1:27" ht="22.95" customHeight="1">
      <c r="A5" s="30"/>
      <c r="B5" s="30"/>
      <c r="C5" s="30"/>
      <c r="D5" s="30"/>
      <c r="E5" s="30"/>
      <c r="F5" s="30"/>
      <c r="G5" s="30" t="str">
        <f t="shared" ca="1" si="0"/>
        <v/>
      </c>
      <c r="H5" s="2"/>
      <c r="I5" s="2"/>
      <c r="J5" s="2"/>
      <c r="K5" s="2"/>
      <c r="L5" s="2"/>
      <c r="M5" s="2"/>
      <c r="N5" s="2"/>
      <c r="O5" s="2"/>
      <c r="P5" s="2"/>
    </row>
    <row r="6" spans="1:27" ht="22.95" customHeight="1">
      <c r="A6" s="30"/>
      <c r="B6" s="30"/>
      <c r="C6" s="30"/>
      <c r="D6" s="30"/>
      <c r="E6" s="30"/>
      <c r="F6" s="30"/>
      <c r="G6" s="30" t="str">
        <f t="shared" ca="1" si="0"/>
        <v/>
      </c>
      <c r="H6" s="2"/>
      <c r="I6" s="2"/>
      <c r="J6" s="2"/>
      <c r="K6" s="2"/>
      <c r="L6" s="2"/>
      <c r="M6" s="2"/>
      <c r="N6" s="2"/>
      <c r="O6" s="2"/>
      <c r="P6" s="2"/>
    </row>
    <row r="7" spans="1:27" ht="22.95" customHeight="1">
      <c r="A7" s="30"/>
      <c r="B7" s="30"/>
      <c r="C7" s="30"/>
      <c r="D7" s="30"/>
      <c r="E7" s="30"/>
      <c r="F7" s="30"/>
      <c r="G7" s="30" t="str">
        <f t="shared" ca="1" si="0"/>
        <v/>
      </c>
      <c r="H7" s="2"/>
      <c r="I7" s="2"/>
      <c r="J7" s="2"/>
      <c r="K7" s="2"/>
      <c r="L7" s="2"/>
      <c r="M7" s="2"/>
      <c r="N7" s="2"/>
      <c r="O7" s="2"/>
      <c r="P7" s="2"/>
    </row>
    <row r="8" spans="1:27" ht="22.95" customHeight="1">
      <c r="A8" s="30"/>
      <c r="B8" s="30"/>
      <c r="C8" s="30"/>
      <c r="D8" s="30"/>
      <c r="E8" s="30"/>
      <c r="F8" s="30"/>
      <c r="G8" s="30" t="str">
        <f t="shared" ca="1" si="0"/>
        <v/>
      </c>
      <c r="H8" s="2"/>
      <c r="I8" s="2"/>
      <c r="J8" s="2"/>
      <c r="K8" s="2"/>
      <c r="L8" s="2"/>
      <c r="M8" s="2"/>
      <c r="N8" s="2"/>
      <c r="O8" s="2"/>
      <c r="P8" s="2"/>
    </row>
    <row r="9" spans="1:27" ht="22.95" customHeight="1">
      <c r="A9" s="30"/>
      <c r="B9" s="30"/>
      <c r="C9" s="30"/>
      <c r="D9" s="30"/>
      <c r="E9" s="30"/>
      <c r="F9" s="30"/>
      <c r="G9" s="30" t="str">
        <f t="shared" ca="1" si="0"/>
        <v/>
      </c>
      <c r="H9" s="2"/>
      <c r="I9" s="2"/>
      <c r="J9" s="2"/>
      <c r="K9" s="2"/>
      <c r="L9" s="2"/>
      <c r="M9" s="2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0"/>
      <c r="G10" s="30" t="str">
        <f t="shared" ca="1" si="0"/>
        <v/>
      </c>
      <c r="H10" s="2"/>
      <c r="I10" s="2"/>
      <c r="J10" s="2"/>
      <c r="K10" s="2"/>
      <c r="L10" s="2"/>
      <c r="M10" s="2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0"/>
      <c r="G11" s="30" t="str">
        <f t="shared" ca="1" si="0"/>
        <v/>
      </c>
      <c r="H11" s="2"/>
      <c r="I11" s="2"/>
      <c r="J11" s="2"/>
      <c r="K11" s="2"/>
      <c r="L11" s="2"/>
      <c r="M11" s="2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0"/>
      <c r="G12" s="30" t="str">
        <f t="shared" ca="1" si="0"/>
        <v/>
      </c>
      <c r="H12" s="2"/>
      <c r="I12" s="2"/>
      <c r="J12" s="2"/>
      <c r="K12" s="2"/>
      <c r="L12" s="2"/>
      <c r="M12" s="2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0"/>
      <c r="G13" s="30" t="str">
        <f t="shared" ca="1" si="0"/>
        <v/>
      </c>
      <c r="H13" s="2"/>
      <c r="I13" s="2"/>
      <c r="J13" s="2"/>
      <c r="K13" s="2"/>
      <c r="L13" s="2"/>
      <c r="M13" s="2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0"/>
      <c r="G14" s="30" t="str">
        <f t="shared" ca="1" si="0"/>
        <v/>
      </c>
      <c r="H14" s="2"/>
      <c r="I14" s="2"/>
      <c r="J14" s="2"/>
      <c r="K14" s="2"/>
      <c r="L14" s="2"/>
      <c r="M14" s="2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0"/>
      <c r="G15" s="30" t="str">
        <f t="shared" ca="1" si="0"/>
        <v/>
      </c>
      <c r="H15" s="2"/>
      <c r="I15" s="2"/>
      <c r="J15" s="2"/>
      <c r="K15" s="2"/>
      <c r="L15" s="2"/>
      <c r="M15" s="2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0"/>
      <c r="G16" s="30" t="str">
        <f t="shared" ca="1" si="0"/>
        <v/>
      </c>
      <c r="H16" s="2"/>
      <c r="I16" s="2"/>
      <c r="J16" s="2"/>
      <c r="K16" s="2"/>
      <c r="L16" s="2"/>
      <c r="M16" s="2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0"/>
      <c r="G17" s="30" t="str">
        <f t="shared" ca="1" si="0"/>
        <v/>
      </c>
      <c r="H17" s="2"/>
      <c r="I17" s="2"/>
      <c r="J17" s="2"/>
      <c r="K17" s="2"/>
      <c r="L17" s="2"/>
      <c r="M17" s="2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0"/>
      <c r="G18" s="30" t="str">
        <f t="shared" ca="1" si="0"/>
        <v/>
      </c>
      <c r="H18" s="2"/>
      <c r="I18" s="2"/>
      <c r="J18" s="2"/>
      <c r="K18" s="2"/>
      <c r="L18" s="2"/>
      <c r="M18" s="2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0"/>
      <c r="G19" s="30" t="str">
        <f t="shared" ca="1" si="0"/>
        <v/>
      </c>
      <c r="H19" s="2"/>
      <c r="I19" s="2"/>
      <c r="J19" s="2"/>
      <c r="K19" s="2"/>
      <c r="L19" s="2"/>
      <c r="M19" s="2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0"/>
      <c r="G20" s="30" t="str">
        <f t="shared" ca="1" si="0"/>
        <v/>
      </c>
      <c r="H20" s="2"/>
      <c r="I20" s="2"/>
      <c r="J20" s="2"/>
      <c r="K20" s="2"/>
      <c r="L20" s="2"/>
      <c r="M20" s="2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0"/>
      <c r="G21" s="30" t="str">
        <f t="shared" ca="1" si="0"/>
        <v/>
      </c>
      <c r="H21" s="2"/>
      <c r="I21" s="2"/>
      <c r="J21" s="2"/>
      <c r="K21" s="2"/>
      <c r="L21" s="2"/>
      <c r="M21" s="2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0"/>
      <c r="G22" s="30" t="str">
        <f t="shared" ca="1" si="0"/>
        <v/>
      </c>
      <c r="H22" s="2"/>
      <c r="I22" s="2"/>
      <c r="J22" s="2"/>
      <c r="K22" s="2"/>
      <c r="L22" s="2"/>
      <c r="M22" s="2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0"/>
      <c r="G23" s="30" t="str">
        <f t="shared" ca="1" si="0"/>
        <v/>
      </c>
      <c r="H23" s="2"/>
      <c r="I23" s="2"/>
      <c r="J23" s="2"/>
      <c r="K23" s="2"/>
      <c r="L23" s="2"/>
      <c r="M23" s="2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0"/>
      <c r="G24" s="30" t="str">
        <f t="shared" ca="1" si="0"/>
        <v/>
      </c>
      <c r="H24" s="2"/>
      <c r="I24" s="2"/>
      <c r="J24" s="2"/>
      <c r="K24" s="2"/>
      <c r="L24" s="2"/>
      <c r="M24" s="2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0"/>
      <c r="G25" s="30" t="str">
        <f t="shared" ca="1" si="0"/>
        <v/>
      </c>
      <c r="H25" s="2"/>
      <c r="I25" s="2"/>
      <c r="J25" s="2"/>
      <c r="K25" s="2"/>
      <c r="L25" s="2"/>
      <c r="M25" s="2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0"/>
      <c r="G26" s="30" t="str">
        <f t="shared" ca="1" si="0"/>
        <v/>
      </c>
      <c r="H26" s="2"/>
      <c r="I26" s="2"/>
      <c r="J26" s="2"/>
      <c r="K26" s="2"/>
      <c r="L26" s="2"/>
      <c r="M26" s="2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0"/>
      <c r="G27" s="30" t="str">
        <f t="shared" ca="1" si="0"/>
        <v/>
      </c>
      <c r="H27" s="2"/>
      <c r="I27" s="2"/>
      <c r="J27" s="2"/>
      <c r="K27" s="2"/>
      <c r="L27" s="2"/>
      <c r="M27" s="2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0"/>
      <c r="G28" s="30" t="str">
        <f t="shared" ca="1" si="0"/>
        <v/>
      </c>
      <c r="H28" s="2"/>
      <c r="I28" s="2"/>
      <c r="J28" s="2"/>
      <c r="K28" s="2"/>
      <c r="L28" s="2"/>
      <c r="M28" s="2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0"/>
      <c r="G29" s="30" t="str">
        <f t="shared" ca="1" si="0"/>
        <v/>
      </c>
      <c r="H29" s="2"/>
      <c r="I29" s="2"/>
      <c r="J29" s="2"/>
      <c r="K29" s="2"/>
      <c r="L29" s="2"/>
      <c r="M29" s="2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0"/>
      <c r="G30" s="30" t="str">
        <f t="shared" ca="1" si="0"/>
        <v/>
      </c>
      <c r="H30" s="2"/>
      <c r="I30" s="2"/>
      <c r="J30" s="2"/>
      <c r="K30" s="2"/>
      <c r="L30" s="2"/>
      <c r="M30" s="2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0"/>
      <c r="G31" s="30" t="str">
        <f t="shared" ca="1" si="0"/>
        <v/>
      </c>
      <c r="H31" s="2"/>
      <c r="I31" s="2"/>
      <c r="J31" s="2"/>
      <c r="K31" s="2"/>
      <c r="L31" s="2"/>
      <c r="M31" s="2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0"/>
      <c r="G32" s="30" t="str">
        <f t="shared" ca="1" si="0"/>
        <v/>
      </c>
      <c r="H32" s="2"/>
      <c r="I32" s="2"/>
      <c r="J32" s="2"/>
      <c r="K32" s="2"/>
      <c r="L32" s="2"/>
      <c r="M32" s="2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0"/>
      <c r="G33" s="30" t="str">
        <f t="shared" ca="1" si="0"/>
        <v/>
      </c>
      <c r="H33" s="2"/>
      <c r="I33" s="2"/>
      <c r="J33" s="2"/>
      <c r="K33" s="2"/>
      <c r="L33" s="2"/>
      <c r="M33" s="2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0"/>
      <c r="G34" s="30" t="str">
        <f t="shared" ref="G34:G65" ca="1" si="1">IF(E34="","",IF(AND(E34&lt;TODAY(),F34&lt;&gt;"Closed"),"EXPIRED","Current"))</f>
        <v/>
      </c>
      <c r="H34" s="2"/>
      <c r="I34" s="2"/>
      <c r="J34" s="2"/>
      <c r="K34" s="2"/>
      <c r="L34" s="2"/>
      <c r="M34" s="2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0"/>
      <c r="G35" s="30" t="str">
        <f t="shared" ca="1" si="1"/>
        <v/>
      </c>
      <c r="H35" s="2"/>
      <c r="I35" s="2"/>
      <c r="J35" s="2"/>
      <c r="K35" s="2"/>
      <c r="L35" s="2"/>
      <c r="M35" s="2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0"/>
      <c r="G36" s="30" t="str">
        <f t="shared" ca="1" si="1"/>
        <v/>
      </c>
      <c r="H36" s="2"/>
      <c r="I36" s="2"/>
      <c r="J36" s="2"/>
      <c r="K36" s="2"/>
      <c r="L36" s="2"/>
      <c r="M36" s="2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0"/>
      <c r="G37" s="30" t="str">
        <f t="shared" ca="1" si="1"/>
        <v/>
      </c>
      <c r="H37" s="2"/>
      <c r="I37" s="2"/>
      <c r="J37" s="2"/>
      <c r="K37" s="2"/>
      <c r="L37" s="2"/>
      <c r="M37" s="2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0"/>
      <c r="G38" s="30" t="str">
        <f t="shared" ca="1" si="1"/>
        <v/>
      </c>
      <c r="H38" s="2"/>
      <c r="I38" s="2"/>
      <c r="J38" s="2"/>
      <c r="K38" s="2"/>
      <c r="L38" s="2"/>
      <c r="M38" s="2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0"/>
      <c r="G39" s="30" t="str">
        <f t="shared" ca="1" si="1"/>
        <v/>
      </c>
      <c r="H39" s="2"/>
      <c r="I39" s="2"/>
      <c r="J39" s="2"/>
      <c r="K39" s="2"/>
      <c r="L39" s="2"/>
      <c r="M39" s="2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0"/>
      <c r="G40" s="30" t="str">
        <f t="shared" ca="1" si="1"/>
        <v/>
      </c>
      <c r="H40" s="2"/>
      <c r="I40" s="2"/>
      <c r="J40" s="2"/>
      <c r="K40" s="2"/>
      <c r="L40" s="2"/>
      <c r="M40" s="2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0"/>
      <c r="G41" s="30" t="str">
        <f t="shared" ca="1" si="1"/>
        <v/>
      </c>
      <c r="H41" s="2"/>
      <c r="I41" s="2"/>
      <c r="J41" s="2"/>
      <c r="K41" s="2"/>
      <c r="L41" s="2"/>
      <c r="M41" s="2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0"/>
      <c r="G42" s="30" t="str">
        <f t="shared" ca="1" si="1"/>
        <v/>
      </c>
      <c r="H42" s="2"/>
      <c r="I42" s="2"/>
      <c r="J42" s="2"/>
      <c r="K42" s="2"/>
      <c r="L42" s="2"/>
      <c r="M42" s="2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0"/>
      <c r="G43" s="30" t="str">
        <f t="shared" ca="1" si="1"/>
        <v/>
      </c>
      <c r="H43" s="2"/>
      <c r="I43" s="2"/>
      <c r="J43" s="2"/>
      <c r="K43" s="2"/>
      <c r="L43" s="2"/>
      <c r="M43" s="2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0"/>
      <c r="G44" s="30" t="str">
        <f t="shared" ca="1" si="1"/>
        <v/>
      </c>
      <c r="H44" s="2"/>
      <c r="I44" s="2"/>
      <c r="J44" s="2"/>
      <c r="K44" s="2"/>
      <c r="L44" s="2"/>
      <c r="M44" s="2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0"/>
      <c r="G45" s="30" t="str">
        <f t="shared" ca="1" si="1"/>
        <v/>
      </c>
      <c r="H45" s="2"/>
      <c r="I45" s="2"/>
      <c r="J45" s="2"/>
      <c r="K45" s="2"/>
      <c r="L45" s="2"/>
      <c r="M45" s="2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0"/>
      <c r="G46" s="30" t="str">
        <f t="shared" ca="1" si="1"/>
        <v/>
      </c>
      <c r="H46" s="2"/>
      <c r="I46" s="2"/>
      <c r="J46" s="2"/>
      <c r="K46" s="2"/>
      <c r="L46" s="2"/>
      <c r="M46" s="2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0"/>
      <c r="G47" s="30" t="str">
        <f t="shared" ca="1" si="1"/>
        <v/>
      </c>
      <c r="H47" s="2"/>
      <c r="I47" s="2"/>
      <c r="J47" s="2"/>
      <c r="K47" s="2"/>
      <c r="L47" s="2"/>
      <c r="M47" s="2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0"/>
      <c r="G48" s="30" t="str">
        <f t="shared" ca="1" si="1"/>
        <v/>
      </c>
      <c r="H48" s="2"/>
      <c r="I48" s="2"/>
      <c r="J48" s="2"/>
      <c r="K48" s="2"/>
      <c r="L48" s="2"/>
      <c r="M48" s="2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0"/>
      <c r="G49" s="30" t="str">
        <f t="shared" ca="1" si="1"/>
        <v/>
      </c>
      <c r="H49" s="2"/>
      <c r="I49" s="2"/>
      <c r="J49" s="2"/>
      <c r="K49" s="2"/>
      <c r="L49" s="2"/>
      <c r="M49" s="2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0"/>
      <c r="G50" s="30" t="str">
        <f t="shared" ca="1" si="1"/>
        <v/>
      </c>
      <c r="H50" s="2"/>
      <c r="I50" s="2"/>
      <c r="J50" s="2"/>
      <c r="K50" s="2"/>
      <c r="L50" s="2"/>
      <c r="M50" s="2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0"/>
      <c r="G51" s="30" t="str">
        <f t="shared" ca="1" si="1"/>
        <v/>
      </c>
      <c r="H51" s="2"/>
      <c r="I51" s="2"/>
      <c r="J51" s="2"/>
      <c r="K51" s="2"/>
      <c r="L51" s="2"/>
      <c r="M51" s="2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0"/>
      <c r="G52" s="30" t="str">
        <f t="shared" ca="1" si="1"/>
        <v/>
      </c>
      <c r="H52" s="2"/>
      <c r="I52" s="2"/>
      <c r="J52" s="2"/>
      <c r="K52" s="2"/>
      <c r="L52" s="2"/>
      <c r="M52" s="2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0"/>
      <c r="G53" s="30" t="str">
        <f t="shared" ca="1" si="1"/>
        <v/>
      </c>
      <c r="H53" s="2"/>
      <c r="I53" s="2"/>
      <c r="J53" s="2"/>
      <c r="K53" s="2"/>
      <c r="L53" s="2"/>
      <c r="M53" s="2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0"/>
      <c r="G54" s="30" t="str">
        <f t="shared" ca="1" si="1"/>
        <v/>
      </c>
      <c r="H54" s="2"/>
      <c r="I54" s="2"/>
      <c r="J54" s="2"/>
      <c r="K54" s="2"/>
      <c r="L54" s="2"/>
      <c r="M54" s="2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0"/>
      <c r="G55" s="30" t="str">
        <f t="shared" ca="1" si="1"/>
        <v/>
      </c>
      <c r="H55" s="2"/>
      <c r="I55" s="2"/>
      <c r="J55" s="2"/>
      <c r="K55" s="2"/>
      <c r="L55" s="2"/>
      <c r="M55" s="2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0"/>
      <c r="G56" s="30" t="str">
        <f t="shared" ca="1" si="1"/>
        <v/>
      </c>
      <c r="H56" s="2"/>
      <c r="I56" s="2"/>
      <c r="J56" s="2"/>
      <c r="K56" s="2"/>
      <c r="L56" s="2"/>
      <c r="M56" s="2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0"/>
      <c r="G57" s="30" t="str">
        <f t="shared" ca="1" si="1"/>
        <v/>
      </c>
      <c r="H57" s="2"/>
      <c r="I57" s="2"/>
      <c r="J57" s="2"/>
      <c r="K57" s="2"/>
      <c r="L57" s="2"/>
      <c r="M57" s="2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0"/>
      <c r="G58" s="30" t="str">
        <f t="shared" ca="1" si="1"/>
        <v/>
      </c>
      <c r="H58" s="2"/>
      <c r="I58" s="2"/>
      <c r="J58" s="2"/>
      <c r="K58" s="2"/>
      <c r="L58" s="2"/>
      <c r="M58" s="2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0"/>
      <c r="G59" s="30" t="str">
        <f t="shared" ca="1" si="1"/>
        <v/>
      </c>
      <c r="H59" s="2"/>
      <c r="I59" s="2"/>
      <c r="J59" s="2"/>
      <c r="K59" s="2"/>
      <c r="L59" s="2"/>
      <c r="M59" s="2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0"/>
      <c r="G60" s="30" t="str">
        <f t="shared" ca="1" si="1"/>
        <v/>
      </c>
      <c r="H60" s="2"/>
      <c r="I60" s="2"/>
      <c r="J60" s="2"/>
      <c r="K60" s="2"/>
      <c r="L60" s="2"/>
      <c r="M60" s="2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0"/>
      <c r="G61" s="30" t="str">
        <f t="shared" ca="1" si="1"/>
        <v/>
      </c>
      <c r="H61" s="2"/>
      <c r="I61" s="2"/>
      <c r="J61" s="2"/>
      <c r="K61" s="2"/>
      <c r="L61" s="2"/>
      <c r="M61" s="2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0"/>
      <c r="G62" s="30" t="str">
        <f t="shared" ca="1" si="1"/>
        <v/>
      </c>
      <c r="H62" s="2"/>
      <c r="I62" s="2"/>
      <c r="J62" s="2"/>
      <c r="K62" s="2"/>
      <c r="L62" s="2"/>
      <c r="M62" s="2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0"/>
      <c r="G63" s="30" t="str">
        <f t="shared" ca="1" si="1"/>
        <v/>
      </c>
      <c r="H63" s="2"/>
      <c r="I63" s="2"/>
      <c r="J63" s="2"/>
      <c r="K63" s="2"/>
      <c r="L63" s="2"/>
      <c r="M63" s="2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0"/>
      <c r="G64" s="30" t="str">
        <f t="shared" ca="1" si="1"/>
        <v/>
      </c>
      <c r="H64" s="2"/>
      <c r="I64" s="2"/>
      <c r="J64" s="2"/>
      <c r="K64" s="2"/>
      <c r="L64" s="2"/>
      <c r="M64" s="2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0"/>
      <c r="G65" s="30" t="str">
        <f t="shared" ca="1" si="1"/>
        <v/>
      </c>
      <c r="H65" s="2"/>
      <c r="I65" s="2"/>
      <c r="J65" s="2"/>
      <c r="K65" s="2"/>
      <c r="L65" s="2"/>
      <c r="M65" s="2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0"/>
      <c r="G66" s="30" t="str">
        <f t="shared" ref="G66:G97" ca="1" si="2">IF(E66="","",IF(AND(E66&lt;TODAY(),F66&lt;&gt;"Closed"),"EXPIRED","Current"))</f>
        <v/>
      </c>
      <c r="H66" s="2"/>
      <c r="I66" s="2"/>
      <c r="J66" s="2"/>
      <c r="K66" s="2"/>
      <c r="L66" s="2"/>
      <c r="M66" s="2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0"/>
      <c r="G67" s="30" t="str">
        <f t="shared" ca="1" si="2"/>
        <v/>
      </c>
      <c r="H67" s="2"/>
      <c r="I67" s="2"/>
      <c r="J67" s="2"/>
      <c r="K67" s="2"/>
      <c r="L67" s="2"/>
      <c r="M67" s="2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0"/>
      <c r="G68" s="30" t="str">
        <f t="shared" ca="1" si="2"/>
        <v/>
      </c>
      <c r="H68" s="2"/>
      <c r="I68" s="2"/>
      <c r="J68" s="2"/>
      <c r="K68" s="2"/>
      <c r="L68" s="2"/>
      <c r="M68" s="2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0"/>
      <c r="G69" s="30" t="str">
        <f t="shared" ca="1" si="2"/>
        <v/>
      </c>
      <c r="H69" s="2"/>
      <c r="I69" s="2"/>
      <c r="J69" s="2"/>
      <c r="K69" s="2"/>
      <c r="L69" s="2"/>
      <c r="M69" s="2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0"/>
      <c r="G70" s="30" t="str">
        <f t="shared" ca="1" si="2"/>
        <v/>
      </c>
      <c r="H70" s="2"/>
      <c r="I70" s="2"/>
      <c r="J70" s="2"/>
      <c r="K70" s="2"/>
      <c r="L70" s="2"/>
      <c r="M70" s="2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0"/>
      <c r="G71" s="30" t="str">
        <f t="shared" ca="1" si="2"/>
        <v/>
      </c>
      <c r="H71" s="2"/>
      <c r="I71" s="2"/>
      <c r="J71" s="2"/>
      <c r="K71" s="2"/>
      <c r="L71" s="2"/>
      <c r="M71" s="2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0"/>
      <c r="G72" s="30" t="str">
        <f t="shared" ca="1" si="2"/>
        <v/>
      </c>
      <c r="H72" s="2"/>
      <c r="I72" s="2"/>
      <c r="J72" s="2"/>
      <c r="K72" s="2"/>
      <c r="L72" s="2"/>
      <c r="M72" s="2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0"/>
      <c r="G73" s="30" t="str">
        <f t="shared" ca="1" si="2"/>
        <v/>
      </c>
      <c r="H73" s="2"/>
      <c r="I73" s="2"/>
      <c r="J73" s="2"/>
      <c r="K73" s="2"/>
      <c r="L73" s="2"/>
      <c r="M73" s="2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0"/>
      <c r="G74" s="30" t="str">
        <f t="shared" ca="1" si="2"/>
        <v/>
      </c>
      <c r="H74" s="2"/>
      <c r="I74" s="2"/>
      <c r="J74" s="2"/>
      <c r="K74" s="2"/>
      <c r="L74" s="2"/>
      <c r="M74" s="2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0"/>
      <c r="G75" s="30" t="str">
        <f t="shared" ca="1" si="2"/>
        <v/>
      </c>
      <c r="H75" s="2"/>
      <c r="I75" s="2"/>
      <c r="J75" s="2"/>
      <c r="K75" s="2"/>
      <c r="L75" s="2"/>
      <c r="M75" s="2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0"/>
      <c r="G76" s="30" t="str">
        <f t="shared" ca="1" si="2"/>
        <v/>
      </c>
      <c r="H76" s="2"/>
      <c r="I76" s="2"/>
      <c r="J76" s="2"/>
      <c r="K76" s="2"/>
      <c r="L76" s="2"/>
      <c r="M76" s="2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0"/>
      <c r="G77" s="30" t="str">
        <f t="shared" ca="1" si="2"/>
        <v/>
      </c>
      <c r="H77" s="2"/>
      <c r="I77" s="2"/>
      <c r="J77" s="2"/>
      <c r="K77" s="2"/>
      <c r="L77" s="2"/>
      <c r="M77" s="2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0"/>
      <c r="G78" s="30" t="str">
        <f t="shared" ca="1" si="2"/>
        <v/>
      </c>
      <c r="H78" s="2"/>
      <c r="I78" s="2"/>
      <c r="J78" s="2"/>
      <c r="K78" s="2"/>
      <c r="L78" s="2"/>
      <c r="M78" s="2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0"/>
      <c r="G79" s="30" t="str">
        <f t="shared" ca="1" si="2"/>
        <v/>
      </c>
      <c r="H79" s="2"/>
      <c r="I79" s="2"/>
      <c r="J79" s="2"/>
      <c r="K79" s="2"/>
      <c r="L79" s="2"/>
      <c r="M79" s="2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0"/>
      <c r="G80" s="30" t="str">
        <f t="shared" ca="1" si="2"/>
        <v/>
      </c>
      <c r="H80" s="2"/>
      <c r="I80" s="2"/>
      <c r="J80" s="2"/>
      <c r="K80" s="2"/>
      <c r="L80" s="2"/>
      <c r="M80" s="2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0"/>
      <c r="G81" s="30" t="str">
        <f t="shared" ca="1" si="2"/>
        <v/>
      </c>
      <c r="H81" s="2"/>
      <c r="I81" s="2"/>
      <c r="J81" s="2"/>
      <c r="K81" s="2"/>
      <c r="L81" s="2"/>
      <c r="M81" s="2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0"/>
      <c r="G82" s="30" t="str">
        <f t="shared" ca="1" si="2"/>
        <v/>
      </c>
      <c r="H82" s="2"/>
      <c r="I82" s="2"/>
      <c r="J82" s="2"/>
      <c r="K82" s="2"/>
      <c r="L82" s="2"/>
      <c r="M82" s="2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0"/>
      <c r="G83" s="30" t="str">
        <f t="shared" ca="1" si="2"/>
        <v/>
      </c>
      <c r="H83" s="2"/>
      <c r="I83" s="2"/>
      <c r="J83" s="2"/>
      <c r="K83" s="2"/>
      <c r="L83" s="2"/>
      <c r="M83" s="2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0"/>
      <c r="G84" s="30" t="str">
        <f t="shared" ca="1" si="2"/>
        <v/>
      </c>
      <c r="H84" s="2"/>
      <c r="I84" s="2"/>
      <c r="J84" s="2"/>
      <c r="K84" s="2"/>
      <c r="L84" s="2"/>
      <c r="M84" s="2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0"/>
      <c r="G85" s="30" t="str">
        <f t="shared" ca="1" si="2"/>
        <v/>
      </c>
      <c r="H85" s="2"/>
      <c r="I85" s="2"/>
      <c r="J85" s="2"/>
      <c r="K85" s="2"/>
      <c r="L85" s="2"/>
      <c r="M85" s="2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0"/>
      <c r="G86" s="30" t="str">
        <f t="shared" ca="1" si="2"/>
        <v/>
      </c>
      <c r="H86" s="2"/>
      <c r="I86" s="2"/>
      <c r="J86" s="2"/>
      <c r="K86" s="2"/>
      <c r="L86" s="2"/>
      <c r="M86" s="2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0"/>
      <c r="G87" s="30" t="str">
        <f t="shared" ca="1" si="2"/>
        <v/>
      </c>
      <c r="H87" s="2"/>
      <c r="I87" s="2"/>
      <c r="J87" s="2"/>
      <c r="K87" s="2"/>
      <c r="L87" s="2"/>
      <c r="M87" s="2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0"/>
      <c r="G88" s="30" t="str">
        <f t="shared" ca="1" si="2"/>
        <v/>
      </c>
      <c r="H88" s="2"/>
      <c r="I88" s="2"/>
      <c r="J88" s="2"/>
      <c r="K88" s="2"/>
      <c r="L88" s="2"/>
      <c r="M88" s="2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0"/>
      <c r="G89" s="30" t="str">
        <f t="shared" ca="1" si="2"/>
        <v/>
      </c>
      <c r="H89" s="2"/>
      <c r="I89" s="2"/>
      <c r="J89" s="2"/>
      <c r="K89" s="2"/>
      <c r="L89" s="2"/>
      <c r="M89" s="2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0"/>
      <c r="G90" s="30" t="str">
        <f t="shared" ca="1" si="2"/>
        <v/>
      </c>
      <c r="H90" s="2"/>
      <c r="I90" s="2"/>
      <c r="J90" s="2"/>
      <c r="K90" s="2"/>
      <c r="L90" s="2"/>
      <c r="M90" s="2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0"/>
      <c r="G91" s="30" t="str">
        <f t="shared" ca="1" si="2"/>
        <v/>
      </c>
      <c r="H91" s="2"/>
      <c r="I91" s="2"/>
      <c r="J91" s="2"/>
      <c r="K91" s="2"/>
      <c r="L91" s="2"/>
      <c r="M91" s="2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0"/>
      <c r="G92" s="30" t="str">
        <f t="shared" ca="1" si="2"/>
        <v/>
      </c>
      <c r="H92" s="2"/>
      <c r="I92" s="2"/>
      <c r="J92" s="2"/>
      <c r="K92" s="2"/>
      <c r="L92" s="2"/>
      <c r="M92" s="2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0"/>
      <c r="G93" s="30" t="str">
        <f t="shared" ca="1" si="2"/>
        <v/>
      </c>
      <c r="H93" s="2"/>
      <c r="I93" s="2"/>
      <c r="J93" s="2"/>
      <c r="K93" s="2"/>
      <c r="L93" s="2"/>
      <c r="M93" s="2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0"/>
      <c r="G94" s="30" t="str">
        <f t="shared" ca="1" si="2"/>
        <v/>
      </c>
      <c r="H94" s="2"/>
      <c r="I94" s="2"/>
      <c r="J94" s="2"/>
      <c r="K94" s="2"/>
      <c r="L94" s="2"/>
      <c r="M94" s="2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0"/>
      <c r="G95" s="30" t="str">
        <f t="shared" ca="1" si="2"/>
        <v/>
      </c>
      <c r="H95" s="2"/>
      <c r="I95" s="2"/>
      <c r="J95" s="2"/>
      <c r="K95" s="2"/>
      <c r="L95" s="2"/>
      <c r="M95" s="2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0"/>
      <c r="G96" s="30" t="str">
        <f t="shared" ca="1" si="2"/>
        <v/>
      </c>
      <c r="H96" s="2"/>
      <c r="I96" s="2"/>
      <c r="J96" s="2"/>
      <c r="K96" s="2"/>
      <c r="L96" s="2"/>
      <c r="M96" s="2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0"/>
      <c r="G97" s="30" t="str">
        <f t="shared" ca="1" si="2"/>
        <v/>
      </c>
      <c r="H97" s="2"/>
      <c r="I97" s="2"/>
      <c r="J97" s="2"/>
      <c r="K97" s="2"/>
      <c r="L97" s="2"/>
      <c r="M97" s="2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0"/>
      <c r="G98" s="30" t="str">
        <f t="shared" ref="G98:G121" ca="1" si="3">IF(E98="","",IF(AND(E98&lt;TODAY(),F98&lt;&gt;"Closed"),"EXPIRED","Current"))</f>
        <v/>
      </c>
      <c r="H98" s="2"/>
      <c r="I98" s="2"/>
      <c r="J98" s="2"/>
      <c r="K98" s="2"/>
      <c r="L98" s="2"/>
      <c r="M98" s="2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0"/>
      <c r="G99" s="30" t="str">
        <f t="shared" ca="1" si="3"/>
        <v/>
      </c>
      <c r="H99" s="2"/>
      <c r="I99" s="2"/>
      <c r="J99" s="2"/>
      <c r="K99" s="2"/>
      <c r="L99" s="2"/>
      <c r="M99" s="2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0"/>
      <c r="G100" s="30" t="str">
        <f t="shared" ca="1" si="3"/>
        <v/>
      </c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0"/>
      <c r="G101" s="30" t="str">
        <f t="shared" ca="1" si="3"/>
        <v/>
      </c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0"/>
      <c r="G102" s="30" t="str">
        <f t="shared" ca="1" si="3"/>
        <v/>
      </c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0"/>
      <c r="G103" s="30" t="str">
        <f t="shared" ca="1" si="3"/>
        <v/>
      </c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0"/>
      <c r="G104" s="30" t="str">
        <f t="shared" ca="1" si="3"/>
        <v/>
      </c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0"/>
      <c r="G105" s="30" t="str">
        <f t="shared" ca="1" si="3"/>
        <v/>
      </c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0"/>
      <c r="G106" s="30" t="str">
        <f t="shared" ca="1" si="3"/>
        <v/>
      </c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0"/>
      <c r="G107" s="30" t="str">
        <f t="shared" ca="1" si="3"/>
        <v/>
      </c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0"/>
      <c r="G108" s="30" t="str">
        <f t="shared" ca="1" si="3"/>
        <v/>
      </c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0"/>
      <c r="G109" s="30" t="str">
        <f t="shared" ca="1" si="3"/>
        <v/>
      </c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0"/>
      <c r="G110" s="30" t="str">
        <f t="shared" ca="1" si="3"/>
        <v/>
      </c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0"/>
      <c r="G111" s="30" t="str">
        <f t="shared" ca="1" si="3"/>
        <v/>
      </c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0"/>
      <c r="G112" s="30" t="str">
        <f t="shared" ca="1" si="3"/>
        <v/>
      </c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0"/>
      <c r="G113" s="30" t="str">
        <f t="shared" ca="1" si="3"/>
        <v/>
      </c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0"/>
      <c r="G114" s="30" t="str">
        <f t="shared" ca="1" si="3"/>
        <v/>
      </c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0"/>
      <c r="G115" s="30" t="str">
        <f t="shared" ca="1" si="3"/>
        <v/>
      </c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0"/>
      <c r="G116" s="30" t="str">
        <f t="shared" ca="1" si="3"/>
        <v/>
      </c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0"/>
      <c r="G117" s="30" t="str">
        <f t="shared" ca="1" si="3"/>
        <v/>
      </c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0"/>
      <c r="G118" s="30" t="str">
        <f t="shared" ca="1" si="3"/>
        <v/>
      </c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0"/>
      <c r="G119" s="30" t="str">
        <f t="shared" ca="1" si="3"/>
        <v/>
      </c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0"/>
      <c r="G120" s="30" t="str">
        <f t="shared" ca="1" si="3"/>
        <v/>
      </c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0"/>
      <c r="G121" s="30" t="str">
        <f t="shared" ca="1" si="3"/>
        <v/>
      </c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G121">
    <cfRule type="expression" dxfId="15" priority="1">
      <formula>MOD(ROW(),2)=0</formula>
    </cfRule>
  </conditionalFormatting>
  <hyperlinks>
    <hyperlink ref="X1" location="'Cover'!A1" display="Cover" xr:uid="{00000000-0004-0000-0B00-000000000000}"/>
    <hyperlink ref="Y1" location="'Index'!A1" display="Index" xr:uid="{00000000-0004-0000-0B00-000001000000}"/>
    <hyperlink ref="Z1" location="'Executive Dashboard'!A1" display="Dashboard" xr:uid="{00000000-0004-0000-0B00-000002000000}"/>
    <hyperlink ref="AA1" location="'Live KPI Overview'!A1" display="Analytics" xr:uid="{00000000-0004-0000-0B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50"/>
  <sheetViews>
    <sheetView showGridLines="0" workbookViewId="0">
      <pane ySplit="1" topLeftCell="A104" activePane="bottomLeft" state="frozen"/>
      <selection pane="bottomLeft" sqref="A1:H121"/>
    </sheetView>
  </sheetViews>
  <sheetFormatPr defaultRowHeight="13.8"/>
  <cols>
    <col min="1" max="1" width="17" customWidth="1"/>
    <col min="2" max="2" width="17.296875" customWidth="1"/>
    <col min="3" max="5" width="17" customWidth="1"/>
    <col min="6" max="6" width="19.19921875" customWidth="1"/>
    <col min="7" max="7" width="21.09765625" customWidth="1"/>
    <col min="8" max="8" width="17" customWidth="1"/>
    <col min="9" max="21" width="19" customWidth="1"/>
    <col min="24" max="27" width="13" customWidth="1"/>
  </cols>
  <sheetData>
    <row r="1" spans="1:27" ht="34.950000000000003" customHeight="1">
      <c r="A1" s="29" t="s">
        <v>198</v>
      </c>
      <c r="B1" s="29" t="s">
        <v>199</v>
      </c>
      <c r="C1" s="29" t="s">
        <v>200</v>
      </c>
      <c r="D1" s="29" t="s">
        <v>201</v>
      </c>
      <c r="E1" s="29" t="s">
        <v>99</v>
      </c>
      <c r="F1" s="29" t="s">
        <v>162</v>
      </c>
      <c r="G1" s="29" t="s">
        <v>202</v>
      </c>
      <c r="H1" s="29" t="s">
        <v>203</v>
      </c>
      <c r="I1" s="4"/>
      <c r="J1" s="4"/>
      <c r="K1" s="4"/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/>
      <c r="B2" s="30"/>
      <c r="C2" s="30"/>
      <c r="D2" s="30"/>
      <c r="E2" s="30"/>
      <c r="F2" s="30"/>
      <c r="G2" s="30"/>
      <c r="H2" s="30"/>
      <c r="I2" s="7"/>
      <c r="J2" s="7"/>
      <c r="K2" s="7"/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/>
      <c r="B3" s="30"/>
      <c r="C3" s="30"/>
      <c r="D3" s="30"/>
      <c r="E3" s="30"/>
      <c r="F3" s="30"/>
      <c r="G3" s="30"/>
      <c r="H3" s="30"/>
      <c r="I3" s="2"/>
      <c r="J3" s="2"/>
      <c r="K3" s="2"/>
      <c r="L3" s="2"/>
      <c r="M3" s="2"/>
      <c r="N3" s="2"/>
      <c r="O3" s="2"/>
      <c r="P3" s="2"/>
    </row>
    <row r="4" spans="1:27" ht="22.95" customHeight="1">
      <c r="A4" s="30"/>
      <c r="B4" s="30"/>
      <c r="C4" s="30"/>
      <c r="D4" s="30"/>
      <c r="E4" s="30"/>
      <c r="F4" s="30"/>
      <c r="G4" s="30"/>
      <c r="H4" s="30"/>
      <c r="I4" s="2"/>
      <c r="J4" s="2"/>
      <c r="K4" s="2"/>
      <c r="L4" s="2"/>
      <c r="M4" s="2"/>
      <c r="N4" s="2"/>
      <c r="O4" s="2"/>
      <c r="P4" s="2"/>
    </row>
    <row r="5" spans="1:27" ht="22.95" customHeight="1">
      <c r="A5" s="30"/>
      <c r="B5" s="30"/>
      <c r="C5" s="30"/>
      <c r="D5" s="30"/>
      <c r="E5" s="30"/>
      <c r="F5" s="30"/>
      <c r="G5" s="30"/>
      <c r="H5" s="30"/>
      <c r="I5" s="2"/>
      <c r="J5" s="2"/>
      <c r="K5" s="2"/>
      <c r="L5" s="2"/>
      <c r="M5" s="2"/>
      <c r="N5" s="2"/>
      <c r="O5" s="2"/>
      <c r="P5" s="2"/>
    </row>
    <row r="6" spans="1:27" ht="22.95" customHeight="1">
      <c r="A6" s="30"/>
      <c r="B6" s="30"/>
      <c r="C6" s="30"/>
      <c r="D6" s="30"/>
      <c r="E6" s="30"/>
      <c r="F6" s="30"/>
      <c r="G6" s="30"/>
      <c r="H6" s="30"/>
      <c r="I6" s="2"/>
      <c r="J6" s="2"/>
      <c r="K6" s="2"/>
      <c r="L6" s="2"/>
      <c r="M6" s="2"/>
      <c r="N6" s="2"/>
      <c r="O6" s="2"/>
      <c r="P6" s="2"/>
    </row>
    <row r="7" spans="1:27" ht="22.95" customHeight="1">
      <c r="A7" s="30"/>
      <c r="B7" s="30"/>
      <c r="C7" s="30"/>
      <c r="D7" s="30"/>
      <c r="E7" s="30"/>
      <c r="F7" s="30"/>
      <c r="G7" s="30"/>
      <c r="H7" s="30"/>
      <c r="I7" s="2"/>
      <c r="J7" s="2"/>
      <c r="K7" s="2"/>
      <c r="L7" s="2"/>
      <c r="M7" s="2"/>
      <c r="N7" s="2"/>
      <c r="O7" s="2"/>
      <c r="P7" s="2"/>
    </row>
    <row r="8" spans="1:27" ht="22.95" customHeight="1">
      <c r="A8" s="30"/>
      <c r="B8" s="30"/>
      <c r="C8" s="30"/>
      <c r="D8" s="30"/>
      <c r="E8" s="30"/>
      <c r="F8" s="30"/>
      <c r="G8" s="30"/>
      <c r="H8" s="30"/>
      <c r="I8" s="2"/>
      <c r="J8" s="2"/>
      <c r="K8" s="2"/>
      <c r="L8" s="2"/>
      <c r="M8" s="2"/>
      <c r="N8" s="2"/>
      <c r="O8" s="2"/>
      <c r="P8" s="2"/>
    </row>
    <row r="9" spans="1:27" ht="22.95" customHeight="1">
      <c r="A9" s="30"/>
      <c r="B9" s="30"/>
      <c r="C9" s="30"/>
      <c r="D9" s="30"/>
      <c r="E9" s="30"/>
      <c r="F9" s="30"/>
      <c r="G9" s="30"/>
      <c r="H9" s="30"/>
      <c r="I9" s="2"/>
      <c r="J9" s="2"/>
      <c r="K9" s="2"/>
      <c r="L9" s="2"/>
      <c r="M9" s="2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0"/>
      <c r="G10" s="30"/>
      <c r="H10" s="30"/>
      <c r="I10" s="2"/>
      <c r="J10" s="2"/>
      <c r="K10" s="2"/>
      <c r="L10" s="2"/>
      <c r="M10" s="2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0"/>
      <c r="G11" s="30"/>
      <c r="H11" s="30"/>
      <c r="I11" s="2"/>
      <c r="J11" s="2"/>
      <c r="K11" s="2"/>
      <c r="L11" s="2"/>
      <c r="M11" s="2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0"/>
      <c r="G12" s="30"/>
      <c r="H12" s="30"/>
      <c r="I12" s="2"/>
      <c r="J12" s="2"/>
      <c r="K12" s="2"/>
      <c r="L12" s="2"/>
      <c r="M12" s="2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0"/>
      <c r="G13" s="30"/>
      <c r="H13" s="30"/>
      <c r="I13" s="2"/>
      <c r="J13" s="2"/>
      <c r="K13" s="2"/>
      <c r="L13" s="2"/>
      <c r="M13" s="2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0"/>
      <c r="G14" s="30"/>
      <c r="H14" s="30"/>
      <c r="I14" s="2"/>
      <c r="J14" s="2"/>
      <c r="K14" s="2"/>
      <c r="L14" s="2"/>
      <c r="M14" s="2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0"/>
      <c r="G15" s="30"/>
      <c r="H15" s="30"/>
      <c r="I15" s="2"/>
      <c r="J15" s="2"/>
      <c r="K15" s="2"/>
      <c r="L15" s="2"/>
      <c r="M15" s="2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0"/>
      <c r="G16" s="30"/>
      <c r="H16" s="30"/>
      <c r="I16" s="2"/>
      <c r="J16" s="2"/>
      <c r="K16" s="2"/>
      <c r="L16" s="2"/>
      <c r="M16" s="2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0"/>
      <c r="G17" s="30"/>
      <c r="H17" s="30"/>
      <c r="I17" s="2"/>
      <c r="J17" s="2"/>
      <c r="K17" s="2"/>
      <c r="L17" s="2"/>
      <c r="M17" s="2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0"/>
      <c r="G18" s="30"/>
      <c r="H18" s="30"/>
      <c r="I18" s="2"/>
      <c r="J18" s="2"/>
      <c r="K18" s="2"/>
      <c r="L18" s="2"/>
      <c r="M18" s="2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0"/>
      <c r="G19" s="30"/>
      <c r="H19" s="30"/>
      <c r="I19" s="2"/>
      <c r="J19" s="2"/>
      <c r="K19" s="2"/>
      <c r="L19" s="2"/>
      <c r="M19" s="2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0"/>
      <c r="G20" s="30"/>
      <c r="H20" s="30"/>
      <c r="I20" s="2"/>
      <c r="J20" s="2"/>
      <c r="K20" s="2"/>
      <c r="L20" s="2"/>
      <c r="M20" s="2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0"/>
      <c r="G21" s="30"/>
      <c r="H21" s="30"/>
      <c r="I21" s="2"/>
      <c r="J21" s="2"/>
      <c r="K21" s="2"/>
      <c r="L21" s="2"/>
      <c r="M21" s="2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0"/>
      <c r="G22" s="30"/>
      <c r="H22" s="30"/>
      <c r="I22" s="2"/>
      <c r="J22" s="2"/>
      <c r="K22" s="2"/>
      <c r="L22" s="2"/>
      <c r="M22" s="2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0"/>
      <c r="G23" s="30"/>
      <c r="H23" s="30"/>
      <c r="I23" s="2"/>
      <c r="J23" s="2"/>
      <c r="K23" s="2"/>
      <c r="L23" s="2"/>
      <c r="M23" s="2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0"/>
      <c r="G24" s="30"/>
      <c r="H24" s="30"/>
      <c r="I24" s="2"/>
      <c r="J24" s="2"/>
      <c r="K24" s="2"/>
      <c r="L24" s="2"/>
      <c r="M24" s="2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0"/>
      <c r="G25" s="30"/>
      <c r="H25" s="30"/>
      <c r="I25" s="2"/>
      <c r="J25" s="2"/>
      <c r="K25" s="2"/>
      <c r="L25" s="2"/>
      <c r="M25" s="2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0"/>
      <c r="G26" s="30"/>
      <c r="H26" s="30"/>
      <c r="I26" s="2"/>
      <c r="J26" s="2"/>
      <c r="K26" s="2"/>
      <c r="L26" s="2"/>
      <c r="M26" s="2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0"/>
      <c r="G27" s="30"/>
      <c r="H27" s="30"/>
      <c r="I27" s="2"/>
      <c r="J27" s="2"/>
      <c r="K27" s="2"/>
      <c r="L27" s="2"/>
      <c r="M27" s="2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0"/>
      <c r="G28" s="30"/>
      <c r="H28" s="30"/>
      <c r="I28" s="2"/>
      <c r="J28" s="2"/>
      <c r="K28" s="2"/>
      <c r="L28" s="2"/>
      <c r="M28" s="2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0"/>
      <c r="G29" s="30"/>
      <c r="H29" s="30"/>
      <c r="I29" s="2"/>
      <c r="J29" s="2"/>
      <c r="K29" s="2"/>
      <c r="L29" s="2"/>
      <c r="M29" s="2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0"/>
      <c r="G30" s="30"/>
      <c r="H30" s="30"/>
      <c r="I30" s="2"/>
      <c r="J30" s="2"/>
      <c r="K30" s="2"/>
      <c r="L30" s="2"/>
      <c r="M30" s="2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0"/>
      <c r="G31" s="30"/>
      <c r="H31" s="30"/>
      <c r="I31" s="2"/>
      <c r="J31" s="2"/>
      <c r="K31" s="2"/>
      <c r="L31" s="2"/>
      <c r="M31" s="2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0"/>
      <c r="G32" s="30"/>
      <c r="H32" s="30"/>
      <c r="I32" s="2"/>
      <c r="J32" s="2"/>
      <c r="K32" s="2"/>
      <c r="L32" s="2"/>
      <c r="M32" s="2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0"/>
      <c r="G33" s="30"/>
      <c r="H33" s="30"/>
      <c r="I33" s="2"/>
      <c r="J33" s="2"/>
      <c r="K33" s="2"/>
      <c r="L33" s="2"/>
      <c r="M33" s="2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0"/>
      <c r="G34" s="30"/>
      <c r="H34" s="30"/>
      <c r="I34" s="2"/>
      <c r="J34" s="2"/>
      <c r="K34" s="2"/>
      <c r="L34" s="2"/>
      <c r="M34" s="2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0"/>
      <c r="G35" s="30"/>
      <c r="H35" s="30"/>
      <c r="I35" s="2"/>
      <c r="J35" s="2"/>
      <c r="K35" s="2"/>
      <c r="L35" s="2"/>
      <c r="M35" s="2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0"/>
      <c r="G36" s="30"/>
      <c r="H36" s="30"/>
      <c r="I36" s="2"/>
      <c r="J36" s="2"/>
      <c r="K36" s="2"/>
      <c r="L36" s="2"/>
      <c r="M36" s="2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0"/>
      <c r="G37" s="30"/>
      <c r="H37" s="30"/>
      <c r="I37" s="2"/>
      <c r="J37" s="2"/>
      <c r="K37" s="2"/>
      <c r="L37" s="2"/>
      <c r="M37" s="2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0"/>
      <c r="G38" s="30"/>
      <c r="H38" s="30"/>
      <c r="I38" s="2"/>
      <c r="J38" s="2"/>
      <c r="K38" s="2"/>
      <c r="L38" s="2"/>
      <c r="M38" s="2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0"/>
      <c r="G39" s="30"/>
      <c r="H39" s="30"/>
      <c r="I39" s="2"/>
      <c r="J39" s="2"/>
      <c r="K39" s="2"/>
      <c r="L39" s="2"/>
      <c r="M39" s="2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0"/>
      <c r="G40" s="30"/>
      <c r="H40" s="30"/>
      <c r="I40" s="2"/>
      <c r="J40" s="2"/>
      <c r="K40" s="2"/>
      <c r="L40" s="2"/>
      <c r="M40" s="2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0"/>
      <c r="G41" s="30"/>
      <c r="H41" s="30"/>
      <c r="I41" s="2"/>
      <c r="J41" s="2"/>
      <c r="K41" s="2"/>
      <c r="L41" s="2"/>
      <c r="M41" s="2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0"/>
      <c r="G42" s="30"/>
      <c r="H42" s="30"/>
      <c r="I42" s="2"/>
      <c r="J42" s="2"/>
      <c r="K42" s="2"/>
      <c r="L42" s="2"/>
      <c r="M42" s="2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0"/>
      <c r="G43" s="30"/>
      <c r="H43" s="30"/>
      <c r="I43" s="2"/>
      <c r="J43" s="2"/>
      <c r="K43" s="2"/>
      <c r="L43" s="2"/>
      <c r="M43" s="2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0"/>
      <c r="G44" s="30"/>
      <c r="H44" s="30"/>
      <c r="I44" s="2"/>
      <c r="J44" s="2"/>
      <c r="K44" s="2"/>
      <c r="L44" s="2"/>
      <c r="M44" s="2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0"/>
      <c r="G45" s="30"/>
      <c r="H45" s="30"/>
      <c r="I45" s="2"/>
      <c r="J45" s="2"/>
      <c r="K45" s="2"/>
      <c r="L45" s="2"/>
      <c r="M45" s="2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0"/>
      <c r="G46" s="30"/>
      <c r="H46" s="30"/>
      <c r="I46" s="2"/>
      <c r="J46" s="2"/>
      <c r="K46" s="2"/>
      <c r="L46" s="2"/>
      <c r="M46" s="2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0"/>
      <c r="G47" s="30"/>
      <c r="H47" s="30"/>
      <c r="I47" s="2"/>
      <c r="J47" s="2"/>
      <c r="K47" s="2"/>
      <c r="L47" s="2"/>
      <c r="M47" s="2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0"/>
      <c r="G48" s="30"/>
      <c r="H48" s="30"/>
      <c r="I48" s="2"/>
      <c r="J48" s="2"/>
      <c r="K48" s="2"/>
      <c r="L48" s="2"/>
      <c r="M48" s="2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0"/>
      <c r="G49" s="30"/>
      <c r="H49" s="30"/>
      <c r="I49" s="2"/>
      <c r="J49" s="2"/>
      <c r="K49" s="2"/>
      <c r="L49" s="2"/>
      <c r="M49" s="2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0"/>
      <c r="G50" s="30"/>
      <c r="H50" s="30"/>
      <c r="I50" s="2"/>
      <c r="J50" s="2"/>
      <c r="K50" s="2"/>
      <c r="L50" s="2"/>
      <c r="M50" s="2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0"/>
      <c r="G51" s="30"/>
      <c r="H51" s="30"/>
      <c r="I51" s="2"/>
      <c r="J51" s="2"/>
      <c r="K51" s="2"/>
      <c r="L51" s="2"/>
      <c r="M51" s="2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0"/>
      <c r="G52" s="30"/>
      <c r="H52" s="30"/>
      <c r="I52" s="2"/>
      <c r="J52" s="2"/>
      <c r="K52" s="2"/>
      <c r="L52" s="2"/>
      <c r="M52" s="2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0"/>
      <c r="G53" s="30"/>
      <c r="H53" s="30"/>
      <c r="I53" s="2"/>
      <c r="J53" s="2"/>
      <c r="K53" s="2"/>
      <c r="L53" s="2"/>
      <c r="M53" s="2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0"/>
      <c r="G54" s="30"/>
      <c r="H54" s="30"/>
      <c r="I54" s="2"/>
      <c r="J54" s="2"/>
      <c r="K54" s="2"/>
      <c r="L54" s="2"/>
      <c r="M54" s="2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0"/>
      <c r="G55" s="30"/>
      <c r="H55" s="30"/>
      <c r="I55" s="2"/>
      <c r="J55" s="2"/>
      <c r="K55" s="2"/>
      <c r="L55" s="2"/>
      <c r="M55" s="2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0"/>
      <c r="G56" s="30"/>
      <c r="H56" s="30"/>
      <c r="I56" s="2"/>
      <c r="J56" s="2"/>
      <c r="K56" s="2"/>
      <c r="L56" s="2"/>
      <c r="M56" s="2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0"/>
      <c r="G57" s="30"/>
      <c r="H57" s="30"/>
      <c r="I57" s="2"/>
      <c r="J57" s="2"/>
      <c r="K57" s="2"/>
      <c r="L57" s="2"/>
      <c r="M57" s="2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0"/>
      <c r="G58" s="30"/>
      <c r="H58" s="30"/>
      <c r="I58" s="2"/>
      <c r="J58" s="2"/>
      <c r="K58" s="2"/>
      <c r="L58" s="2"/>
      <c r="M58" s="2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0"/>
      <c r="G59" s="30"/>
      <c r="H59" s="30"/>
      <c r="I59" s="2"/>
      <c r="J59" s="2"/>
      <c r="K59" s="2"/>
      <c r="L59" s="2"/>
      <c r="M59" s="2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0"/>
      <c r="G60" s="30"/>
      <c r="H60" s="30"/>
      <c r="I60" s="2"/>
      <c r="J60" s="2"/>
      <c r="K60" s="2"/>
      <c r="L60" s="2"/>
      <c r="M60" s="2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0"/>
      <c r="G61" s="30"/>
      <c r="H61" s="30"/>
      <c r="I61" s="2"/>
      <c r="J61" s="2"/>
      <c r="K61" s="2"/>
      <c r="L61" s="2"/>
      <c r="M61" s="2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0"/>
      <c r="G62" s="30"/>
      <c r="H62" s="30"/>
      <c r="I62" s="2"/>
      <c r="J62" s="2"/>
      <c r="K62" s="2"/>
      <c r="L62" s="2"/>
      <c r="M62" s="2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0"/>
      <c r="G63" s="30"/>
      <c r="H63" s="30"/>
      <c r="I63" s="2"/>
      <c r="J63" s="2"/>
      <c r="K63" s="2"/>
      <c r="L63" s="2"/>
      <c r="M63" s="2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0"/>
      <c r="G64" s="30"/>
      <c r="H64" s="30"/>
      <c r="I64" s="2"/>
      <c r="J64" s="2"/>
      <c r="K64" s="2"/>
      <c r="L64" s="2"/>
      <c r="M64" s="2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0"/>
      <c r="G65" s="30"/>
      <c r="H65" s="30"/>
      <c r="I65" s="2"/>
      <c r="J65" s="2"/>
      <c r="K65" s="2"/>
      <c r="L65" s="2"/>
      <c r="M65" s="2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0"/>
      <c r="G66" s="30"/>
      <c r="H66" s="30"/>
      <c r="I66" s="2"/>
      <c r="J66" s="2"/>
      <c r="K66" s="2"/>
      <c r="L66" s="2"/>
      <c r="M66" s="2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0"/>
      <c r="G67" s="30"/>
      <c r="H67" s="30"/>
      <c r="I67" s="2"/>
      <c r="J67" s="2"/>
      <c r="K67" s="2"/>
      <c r="L67" s="2"/>
      <c r="M67" s="2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0"/>
      <c r="G68" s="30"/>
      <c r="H68" s="30"/>
      <c r="I68" s="2"/>
      <c r="J68" s="2"/>
      <c r="K68" s="2"/>
      <c r="L68" s="2"/>
      <c r="M68" s="2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0"/>
      <c r="G69" s="30"/>
      <c r="H69" s="30"/>
      <c r="I69" s="2"/>
      <c r="J69" s="2"/>
      <c r="K69" s="2"/>
      <c r="L69" s="2"/>
      <c r="M69" s="2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0"/>
      <c r="G70" s="30"/>
      <c r="H70" s="30"/>
      <c r="I70" s="2"/>
      <c r="J70" s="2"/>
      <c r="K70" s="2"/>
      <c r="L70" s="2"/>
      <c r="M70" s="2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0"/>
      <c r="G71" s="30"/>
      <c r="H71" s="30"/>
      <c r="I71" s="2"/>
      <c r="J71" s="2"/>
      <c r="K71" s="2"/>
      <c r="L71" s="2"/>
      <c r="M71" s="2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0"/>
      <c r="G72" s="30"/>
      <c r="H72" s="30"/>
      <c r="I72" s="2"/>
      <c r="J72" s="2"/>
      <c r="K72" s="2"/>
      <c r="L72" s="2"/>
      <c r="M72" s="2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0"/>
      <c r="G73" s="30"/>
      <c r="H73" s="30"/>
      <c r="I73" s="2"/>
      <c r="J73" s="2"/>
      <c r="K73" s="2"/>
      <c r="L73" s="2"/>
      <c r="M73" s="2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0"/>
      <c r="G74" s="30"/>
      <c r="H74" s="30"/>
      <c r="I74" s="2"/>
      <c r="J74" s="2"/>
      <c r="K74" s="2"/>
      <c r="L74" s="2"/>
      <c r="M74" s="2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0"/>
      <c r="G75" s="30"/>
      <c r="H75" s="30"/>
      <c r="I75" s="2"/>
      <c r="J75" s="2"/>
      <c r="K75" s="2"/>
      <c r="L75" s="2"/>
      <c r="M75" s="2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0"/>
      <c r="G76" s="30"/>
      <c r="H76" s="30"/>
      <c r="I76" s="2"/>
      <c r="J76" s="2"/>
      <c r="K76" s="2"/>
      <c r="L76" s="2"/>
      <c r="M76" s="2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0"/>
      <c r="G77" s="30"/>
      <c r="H77" s="30"/>
      <c r="I77" s="2"/>
      <c r="J77" s="2"/>
      <c r="K77" s="2"/>
      <c r="L77" s="2"/>
      <c r="M77" s="2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0"/>
      <c r="G78" s="30"/>
      <c r="H78" s="30"/>
      <c r="I78" s="2"/>
      <c r="J78" s="2"/>
      <c r="K78" s="2"/>
      <c r="L78" s="2"/>
      <c r="M78" s="2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0"/>
      <c r="G79" s="30"/>
      <c r="H79" s="30"/>
      <c r="I79" s="2"/>
      <c r="J79" s="2"/>
      <c r="K79" s="2"/>
      <c r="L79" s="2"/>
      <c r="M79" s="2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0"/>
      <c r="G80" s="30"/>
      <c r="H80" s="30"/>
      <c r="I80" s="2"/>
      <c r="J80" s="2"/>
      <c r="K80" s="2"/>
      <c r="L80" s="2"/>
      <c r="M80" s="2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0"/>
      <c r="G81" s="30"/>
      <c r="H81" s="30"/>
      <c r="I81" s="2"/>
      <c r="J81" s="2"/>
      <c r="K81" s="2"/>
      <c r="L81" s="2"/>
      <c r="M81" s="2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0"/>
      <c r="G82" s="30"/>
      <c r="H82" s="30"/>
      <c r="I82" s="2"/>
      <c r="J82" s="2"/>
      <c r="K82" s="2"/>
      <c r="L82" s="2"/>
      <c r="M82" s="2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0"/>
      <c r="G83" s="30"/>
      <c r="H83" s="30"/>
      <c r="I83" s="2"/>
      <c r="J83" s="2"/>
      <c r="K83" s="2"/>
      <c r="L83" s="2"/>
      <c r="M83" s="2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0"/>
      <c r="G84" s="30"/>
      <c r="H84" s="30"/>
      <c r="I84" s="2"/>
      <c r="J84" s="2"/>
      <c r="K84" s="2"/>
      <c r="L84" s="2"/>
      <c r="M84" s="2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0"/>
      <c r="G85" s="30"/>
      <c r="H85" s="30"/>
      <c r="I85" s="2"/>
      <c r="J85" s="2"/>
      <c r="K85" s="2"/>
      <c r="L85" s="2"/>
      <c r="M85" s="2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0"/>
      <c r="G86" s="30"/>
      <c r="H86" s="30"/>
      <c r="I86" s="2"/>
      <c r="J86" s="2"/>
      <c r="K86" s="2"/>
      <c r="L86" s="2"/>
      <c r="M86" s="2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0"/>
      <c r="G87" s="30"/>
      <c r="H87" s="30"/>
      <c r="I87" s="2"/>
      <c r="J87" s="2"/>
      <c r="K87" s="2"/>
      <c r="L87" s="2"/>
      <c r="M87" s="2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0"/>
      <c r="G88" s="30"/>
      <c r="H88" s="30"/>
      <c r="I88" s="2"/>
      <c r="J88" s="2"/>
      <c r="K88" s="2"/>
      <c r="L88" s="2"/>
      <c r="M88" s="2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0"/>
      <c r="G89" s="30"/>
      <c r="H89" s="30"/>
      <c r="I89" s="2"/>
      <c r="J89" s="2"/>
      <c r="K89" s="2"/>
      <c r="L89" s="2"/>
      <c r="M89" s="2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0"/>
      <c r="G90" s="30"/>
      <c r="H90" s="30"/>
      <c r="I90" s="2"/>
      <c r="J90" s="2"/>
      <c r="K90" s="2"/>
      <c r="L90" s="2"/>
      <c r="M90" s="2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0"/>
      <c r="G91" s="30"/>
      <c r="H91" s="30"/>
      <c r="I91" s="2"/>
      <c r="J91" s="2"/>
      <c r="K91" s="2"/>
      <c r="L91" s="2"/>
      <c r="M91" s="2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0"/>
      <c r="G92" s="30"/>
      <c r="H92" s="30"/>
      <c r="I92" s="2"/>
      <c r="J92" s="2"/>
      <c r="K92" s="2"/>
      <c r="L92" s="2"/>
      <c r="M92" s="2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0"/>
      <c r="G93" s="30"/>
      <c r="H93" s="30"/>
      <c r="I93" s="2"/>
      <c r="J93" s="2"/>
      <c r="K93" s="2"/>
      <c r="L93" s="2"/>
      <c r="M93" s="2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0"/>
      <c r="G94" s="30"/>
      <c r="H94" s="30"/>
      <c r="I94" s="2"/>
      <c r="J94" s="2"/>
      <c r="K94" s="2"/>
      <c r="L94" s="2"/>
      <c r="M94" s="2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0"/>
      <c r="G95" s="30"/>
      <c r="H95" s="30"/>
      <c r="I95" s="2"/>
      <c r="J95" s="2"/>
      <c r="K95" s="2"/>
      <c r="L95" s="2"/>
      <c r="M95" s="2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0"/>
      <c r="G96" s="30"/>
      <c r="H96" s="30"/>
      <c r="I96" s="2"/>
      <c r="J96" s="2"/>
      <c r="K96" s="2"/>
      <c r="L96" s="2"/>
      <c r="M96" s="2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0"/>
      <c r="G97" s="30"/>
      <c r="H97" s="30"/>
      <c r="I97" s="2"/>
      <c r="J97" s="2"/>
      <c r="K97" s="2"/>
      <c r="L97" s="2"/>
      <c r="M97" s="2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0"/>
      <c r="G98" s="30"/>
      <c r="H98" s="30"/>
      <c r="I98" s="2"/>
      <c r="J98" s="2"/>
      <c r="K98" s="2"/>
      <c r="L98" s="2"/>
      <c r="M98" s="2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0"/>
      <c r="G99" s="30"/>
      <c r="H99" s="30"/>
      <c r="I99" s="2"/>
      <c r="J99" s="2"/>
      <c r="K99" s="2"/>
      <c r="L99" s="2"/>
      <c r="M99" s="2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0"/>
      <c r="G100" s="30"/>
      <c r="H100" s="30"/>
      <c r="I100" s="2"/>
      <c r="J100" s="2"/>
      <c r="K100" s="2"/>
      <c r="L100" s="2"/>
      <c r="M100" s="2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0"/>
      <c r="G101" s="30"/>
      <c r="H101" s="30"/>
      <c r="I101" s="2"/>
      <c r="J101" s="2"/>
      <c r="K101" s="2"/>
      <c r="L101" s="2"/>
      <c r="M101" s="2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0"/>
      <c r="G102" s="30"/>
      <c r="H102" s="30"/>
      <c r="I102" s="2"/>
      <c r="J102" s="2"/>
      <c r="K102" s="2"/>
      <c r="L102" s="2"/>
      <c r="M102" s="2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0"/>
      <c r="G103" s="30"/>
      <c r="H103" s="30"/>
      <c r="I103" s="2"/>
      <c r="J103" s="2"/>
      <c r="K103" s="2"/>
      <c r="L103" s="2"/>
      <c r="M103" s="2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0"/>
      <c r="G104" s="30"/>
      <c r="H104" s="30"/>
      <c r="I104" s="2"/>
      <c r="J104" s="2"/>
      <c r="K104" s="2"/>
      <c r="L104" s="2"/>
      <c r="M104" s="2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0"/>
      <c r="G105" s="30"/>
      <c r="H105" s="30"/>
      <c r="I105" s="2"/>
      <c r="J105" s="2"/>
      <c r="K105" s="2"/>
      <c r="L105" s="2"/>
      <c r="M105" s="2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0"/>
      <c r="G106" s="30"/>
      <c r="H106" s="30"/>
      <c r="I106" s="2"/>
      <c r="J106" s="2"/>
      <c r="K106" s="2"/>
      <c r="L106" s="2"/>
      <c r="M106" s="2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0"/>
      <c r="G107" s="30"/>
      <c r="H107" s="30"/>
      <c r="I107" s="2"/>
      <c r="J107" s="2"/>
      <c r="K107" s="2"/>
      <c r="L107" s="2"/>
      <c r="M107" s="2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0"/>
      <c r="G108" s="30"/>
      <c r="H108" s="30"/>
      <c r="I108" s="2"/>
      <c r="J108" s="2"/>
      <c r="K108" s="2"/>
      <c r="L108" s="2"/>
      <c r="M108" s="2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0"/>
      <c r="G109" s="30"/>
      <c r="H109" s="30"/>
      <c r="I109" s="2"/>
      <c r="J109" s="2"/>
      <c r="K109" s="2"/>
      <c r="L109" s="2"/>
      <c r="M109" s="2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0"/>
      <c r="G110" s="30"/>
      <c r="H110" s="30"/>
      <c r="I110" s="2"/>
      <c r="J110" s="2"/>
      <c r="K110" s="2"/>
      <c r="L110" s="2"/>
      <c r="M110" s="2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0"/>
      <c r="G111" s="30"/>
      <c r="H111" s="30"/>
      <c r="I111" s="2"/>
      <c r="J111" s="2"/>
      <c r="K111" s="2"/>
      <c r="L111" s="2"/>
      <c r="M111" s="2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0"/>
      <c r="G112" s="30"/>
      <c r="H112" s="30"/>
      <c r="I112" s="2"/>
      <c r="J112" s="2"/>
      <c r="K112" s="2"/>
      <c r="L112" s="2"/>
      <c r="M112" s="2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0"/>
      <c r="G113" s="30"/>
      <c r="H113" s="30"/>
      <c r="I113" s="2"/>
      <c r="J113" s="2"/>
      <c r="K113" s="2"/>
      <c r="L113" s="2"/>
      <c r="M113" s="2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0"/>
      <c r="G114" s="30"/>
      <c r="H114" s="30"/>
      <c r="I114" s="2"/>
      <c r="J114" s="2"/>
      <c r="K114" s="2"/>
      <c r="L114" s="2"/>
      <c r="M114" s="2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0"/>
      <c r="G115" s="30"/>
      <c r="H115" s="30"/>
      <c r="I115" s="2"/>
      <c r="J115" s="2"/>
      <c r="K115" s="2"/>
      <c r="L115" s="2"/>
      <c r="M115" s="2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0"/>
      <c r="G116" s="30"/>
      <c r="H116" s="30"/>
      <c r="I116" s="2"/>
      <c r="J116" s="2"/>
      <c r="K116" s="2"/>
      <c r="L116" s="2"/>
      <c r="M116" s="2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0"/>
      <c r="G117" s="30"/>
      <c r="H117" s="30"/>
      <c r="I117" s="2"/>
      <c r="J117" s="2"/>
      <c r="K117" s="2"/>
      <c r="L117" s="2"/>
      <c r="M117" s="2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0"/>
      <c r="G118" s="30"/>
      <c r="H118" s="30"/>
      <c r="I118" s="2"/>
      <c r="J118" s="2"/>
      <c r="K118" s="2"/>
      <c r="L118" s="2"/>
      <c r="M118" s="2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0"/>
      <c r="G119" s="30"/>
      <c r="H119" s="30"/>
      <c r="I119" s="2"/>
      <c r="J119" s="2"/>
      <c r="K119" s="2"/>
      <c r="L119" s="2"/>
      <c r="M119" s="2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0"/>
      <c r="G120" s="30"/>
      <c r="H120" s="30"/>
      <c r="I120" s="2"/>
      <c r="J120" s="2"/>
      <c r="K120" s="2"/>
      <c r="L120" s="2"/>
      <c r="M120" s="2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0"/>
      <c r="G121" s="30"/>
      <c r="H121" s="30"/>
      <c r="I121" s="2"/>
      <c r="J121" s="2"/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H121">
    <cfRule type="expression" dxfId="14" priority="1">
      <formula>MOD(ROW(),2)=0</formula>
    </cfRule>
  </conditionalFormatting>
  <hyperlinks>
    <hyperlink ref="X1" location="'Cover'!A1" display="Cover" xr:uid="{00000000-0004-0000-0C00-000000000000}"/>
    <hyperlink ref="Y1" location="'Index'!A1" display="Index" xr:uid="{00000000-0004-0000-0C00-000001000000}"/>
    <hyperlink ref="Z1" location="'Executive Dashboard'!A1" display="Dashboard" xr:uid="{00000000-0004-0000-0C00-000002000000}"/>
    <hyperlink ref="AA1" location="'Live KPI Overview'!A1" display="Analytics" xr:uid="{00000000-0004-0000-0C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50"/>
  <sheetViews>
    <sheetView showGridLines="0" workbookViewId="0">
      <pane ySplit="1" topLeftCell="A104" activePane="bottomLeft" state="frozen"/>
      <selection pane="bottomLeft" sqref="A1:I121"/>
    </sheetView>
  </sheetViews>
  <sheetFormatPr defaultRowHeight="13.8"/>
  <cols>
    <col min="1" max="1" width="17.296875" customWidth="1"/>
    <col min="2" max="2" width="23" customWidth="1"/>
    <col min="3" max="3" width="17.296875" customWidth="1"/>
    <col min="4" max="7" width="17" customWidth="1"/>
    <col min="8" max="8" width="19.19921875" customWidth="1"/>
    <col min="9" max="9" width="21.09765625" customWidth="1"/>
    <col min="10" max="21" width="19" customWidth="1"/>
    <col min="24" max="27" width="13" customWidth="1"/>
  </cols>
  <sheetData>
    <row r="1" spans="1:27" ht="34.950000000000003" customHeight="1">
      <c r="A1" s="29" t="s">
        <v>204</v>
      </c>
      <c r="B1" s="29" t="s">
        <v>205</v>
      </c>
      <c r="C1" s="29" t="s">
        <v>206</v>
      </c>
      <c r="D1" s="29" t="s">
        <v>30</v>
      </c>
      <c r="E1" s="29" t="s">
        <v>99</v>
      </c>
      <c r="F1" s="29" t="s">
        <v>207</v>
      </c>
      <c r="G1" s="29" t="s">
        <v>208</v>
      </c>
      <c r="H1" s="29" t="s">
        <v>209</v>
      </c>
      <c r="I1" s="29" t="s">
        <v>202</v>
      </c>
      <c r="J1" s="4"/>
      <c r="K1" s="4"/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/>
      <c r="B2" s="30"/>
      <c r="C2" s="30"/>
      <c r="D2" s="30"/>
      <c r="E2" s="30"/>
      <c r="F2" s="30"/>
      <c r="G2" s="30"/>
      <c r="H2" s="30"/>
      <c r="I2" s="30"/>
      <c r="J2" s="7"/>
      <c r="K2" s="7"/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/>
      <c r="B3" s="30"/>
      <c r="C3" s="30"/>
      <c r="D3" s="30"/>
      <c r="E3" s="30"/>
      <c r="F3" s="30"/>
      <c r="G3" s="30"/>
      <c r="H3" s="30"/>
      <c r="I3" s="30"/>
      <c r="J3" s="2"/>
      <c r="K3" s="2"/>
      <c r="L3" s="2"/>
      <c r="M3" s="2"/>
      <c r="N3" s="2"/>
      <c r="O3" s="2"/>
      <c r="P3" s="2"/>
    </row>
    <row r="4" spans="1:27" ht="22.95" customHeight="1">
      <c r="A4" s="30"/>
      <c r="B4" s="30"/>
      <c r="C4" s="30"/>
      <c r="D4" s="30"/>
      <c r="E4" s="30"/>
      <c r="F4" s="30"/>
      <c r="G4" s="30"/>
      <c r="H4" s="30"/>
      <c r="I4" s="30"/>
      <c r="J4" s="2"/>
      <c r="K4" s="2"/>
      <c r="L4" s="2"/>
      <c r="M4" s="2"/>
      <c r="N4" s="2"/>
      <c r="O4" s="2"/>
      <c r="P4" s="2"/>
    </row>
    <row r="5" spans="1:27" ht="22.95" customHeight="1">
      <c r="A5" s="30"/>
      <c r="B5" s="30"/>
      <c r="C5" s="30"/>
      <c r="D5" s="30"/>
      <c r="E5" s="30"/>
      <c r="F5" s="30"/>
      <c r="G5" s="30"/>
      <c r="H5" s="30"/>
      <c r="I5" s="30"/>
      <c r="J5" s="2"/>
      <c r="K5" s="2"/>
      <c r="L5" s="2"/>
      <c r="M5" s="2"/>
      <c r="N5" s="2"/>
      <c r="O5" s="2"/>
      <c r="P5" s="2"/>
    </row>
    <row r="6" spans="1:27" ht="22.95" customHeight="1">
      <c r="A6" s="30"/>
      <c r="B6" s="30"/>
      <c r="C6" s="30"/>
      <c r="D6" s="30"/>
      <c r="E6" s="30"/>
      <c r="F6" s="30"/>
      <c r="G6" s="30"/>
      <c r="H6" s="30"/>
      <c r="I6" s="30"/>
      <c r="J6" s="2"/>
      <c r="K6" s="2"/>
      <c r="L6" s="2"/>
      <c r="M6" s="2"/>
      <c r="N6" s="2"/>
      <c r="O6" s="2"/>
      <c r="P6" s="2"/>
    </row>
    <row r="7" spans="1:27" ht="22.95" customHeight="1">
      <c r="A7" s="30"/>
      <c r="B7" s="30"/>
      <c r="C7" s="30"/>
      <c r="D7" s="30"/>
      <c r="E7" s="30"/>
      <c r="F7" s="30"/>
      <c r="G7" s="30"/>
      <c r="H7" s="30"/>
      <c r="I7" s="30"/>
      <c r="J7" s="2"/>
      <c r="K7" s="2"/>
      <c r="L7" s="2"/>
      <c r="M7" s="2"/>
      <c r="N7" s="2"/>
      <c r="O7" s="2"/>
      <c r="P7" s="2"/>
    </row>
    <row r="8" spans="1:27" ht="22.95" customHeight="1">
      <c r="A8" s="30"/>
      <c r="B8" s="30"/>
      <c r="C8" s="30"/>
      <c r="D8" s="30"/>
      <c r="E8" s="30"/>
      <c r="F8" s="30"/>
      <c r="G8" s="30"/>
      <c r="H8" s="30"/>
      <c r="I8" s="30"/>
      <c r="J8" s="2"/>
      <c r="K8" s="2"/>
      <c r="L8" s="2"/>
      <c r="M8" s="2"/>
      <c r="N8" s="2"/>
      <c r="O8" s="2"/>
      <c r="P8" s="2"/>
    </row>
    <row r="9" spans="1:27" ht="22.95" customHeight="1">
      <c r="A9" s="30"/>
      <c r="B9" s="30"/>
      <c r="C9" s="30"/>
      <c r="D9" s="30"/>
      <c r="E9" s="30"/>
      <c r="F9" s="30"/>
      <c r="G9" s="30"/>
      <c r="H9" s="30"/>
      <c r="I9" s="30"/>
      <c r="J9" s="2"/>
      <c r="K9" s="2"/>
      <c r="L9" s="2"/>
      <c r="M9" s="2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0"/>
      <c r="G10" s="30"/>
      <c r="H10" s="30"/>
      <c r="I10" s="30"/>
      <c r="J10" s="2"/>
      <c r="K10" s="2"/>
      <c r="L10" s="2"/>
      <c r="M10" s="2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0"/>
      <c r="G11" s="30"/>
      <c r="H11" s="30"/>
      <c r="I11" s="30"/>
      <c r="J11" s="2"/>
      <c r="K11" s="2"/>
      <c r="L11" s="2"/>
      <c r="M11" s="2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0"/>
      <c r="G12" s="30"/>
      <c r="H12" s="30"/>
      <c r="I12" s="30"/>
      <c r="J12" s="2"/>
      <c r="K12" s="2"/>
      <c r="L12" s="2"/>
      <c r="M12" s="2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0"/>
      <c r="G13" s="30"/>
      <c r="H13" s="30"/>
      <c r="I13" s="30"/>
      <c r="J13" s="2"/>
      <c r="K13" s="2"/>
      <c r="L13" s="2"/>
      <c r="M13" s="2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0"/>
      <c r="G14" s="30"/>
      <c r="H14" s="30"/>
      <c r="I14" s="30"/>
      <c r="J14" s="2"/>
      <c r="K14" s="2"/>
      <c r="L14" s="2"/>
      <c r="M14" s="2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0"/>
      <c r="G15" s="30"/>
      <c r="H15" s="30"/>
      <c r="I15" s="30"/>
      <c r="J15" s="2"/>
      <c r="K15" s="2"/>
      <c r="L15" s="2"/>
      <c r="M15" s="2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0"/>
      <c r="G16" s="30"/>
      <c r="H16" s="30"/>
      <c r="I16" s="30"/>
      <c r="J16" s="2"/>
      <c r="K16" s="2"/>
      <c r="L16" s="2"/>
      <c r="M16" s="2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0"/>
      <c r="G17" s="30"/>
      <c r="H17" s="30"/>
      <c r="I17" s="30"/>
      <c r="J17" s="2"/>
      <c r="K17" s="2"/>
      <c r="L17" s="2"/>
      <c r="M17" s="2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0"/>
      <c r="G18" s="30"/>
      <c r="H18" s="30"/>
      <c r="I18" s="30"/>
      <c r="J18" s="2"/>
      <c r="K18" s="2"/>
      <c r="L18" s="2"/>
      <c r="M18" s="2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0"/>
      <c r="G19" s="30"/>
      <c r="H19" s="30"/>
      <c r="I19" s="30"/>
      <c r="J19" s="2"/>
      <c r="K19" s="2"/>
      <c r="L19" s="2"/>
      <c r="M19" s="2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0"/>
      <c r="G20" s="30"/>
      <c r="H20" s="30"/>
      <c r="I20" s="30"/>
      <c r="J20" s="2"/>
      <c r="K20" s="2"/>
      <c r="L20" s="2"/>
      <c r="M20" s="2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0"/>
      <c r="G21" s="30"/>
      <c r="H21" s="30"/>
      <c r="I21" s="30"/>
      <c r="J21" s="2"/>
      <c r="K21" s="2"/>
      <c r="L21" s="2"/>
      <c r="M21" s="2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0"/>
      <c r="G22" s="30"/>
      <c r="H22" s="30"/>
      <c r="I22" s="30"/>
      <c r="J22" s="2"/>
      <c r="K22" s="2"/>
      <c r="L22" s="2"/>
      <c r="M22" s="2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0"/>
      <c r="G23" s="30"/>
      <c r="H23" s="30"/>
      <c r="I23" s="30"/>
      <c r="J23" s="2"/>
      <c r="K23" s="2"/>
      <c r="L23" s="2"/>
      <c r="M23" s="2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0"/>
      <c r="G24" s="30"/>
      <c r="H24" s="30"/>
      <c r="I24" s="30"/>
      <c r="J24" s="2"/>
      <c r="K24" s="2"/>
      <c r="L24" s="2"/>
      <c r="M24" s="2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0"/>
      <c r="G25" s="30"/>
      <c r="H25" s="30"/>
      <c r="I25" s="30"/>
      <c r="J25" s="2"/>
      <c r="K25" s="2"/>
      <c r="L25" s="2"/>
      <c r="M25" s="2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0"/>
      <c r="G26" s="30"/>
      <c r="H26" s="30"/>
      <c r="I26" s="30"/>
      <c r="J26" s="2"/>
      <c r="K26" s="2"/>
      <c r="L26" s="2"/>
      <c r="M26" s="2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0"/>
      <c r="G27" s="30"/>
      <c r="H27" s="30"/>
      <c r="I27" s="30"/>
      <c r="J27" s="2"/>
      <c r="K27" s="2"/>
      <c r="L27" s="2"/>
      <c r="M27" s="2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0"/>
      <c r="G28" s="30"/>
      <c r="H28" s="30"/>
      <c r="I28" s="30"/>
      <c r="J28" s="2"/>
      <c r="K28" s="2"/>
      <c r="L28" s="2"/>
      <c r="M28" s="2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0"/>
      <c r="G29" s="30"/>
      <c r="H29" s="30"/>
      <c r="I29" s="30"/>
      <c r="J29" s="2"/>
      <c r="K29" s="2"/>
      <c r="L29" s="2"/>
      <c r="M29" s="2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0"/>
      <c r="G30" s="30"/>
      <c r="H30" s="30"/>
      <c r="I30" s="30"/>
      <c r="J30" s="2"/>
      <c r="K30" s="2"/>
      <c r="L30" s="2"/>
      <c r="M30" s="2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0"/>
      <c r="G31" s="30"/>
      <c r="H31" s="30"/>
      <c r="I31" s="30"/>
      <c r="J31" s="2"/>
      <c r="K31" s="2"/>
      <c r="L31" s="2"/>
      <c r="M31" s="2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0"/>
      <c r="G32" s="30"/>
      <c r="H32" s="30"/>
      <c r="I32" s="30"/>
      <c r="J32" s="2"/>
      <c r="K32" s="2"/>
      <c r="L32" s="2"/>
      <c r="M32" s="2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0"/>
      <c r="G33" s="30"/>
      <c r="H33" s="30"/>
      <c r="I33" s="30"/>
      <c r="J33" s="2"/>
      <c r="K33" s="2"/>
      <c r="L33" s="2"/>
      <c r="M33" s="2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0"/>
      <c r="G34" s="30"/>
      <c r="H34" s="30"/>
      <c r="I34" s="30"/>
      <c r="J34" s="2"/>
      <c r="K34" s="2"/>
      <c r="L34" s="2"/>
      <c r="M34" s="2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0"/>
      <c r="G35" s="30"/>
      <c r="H35" s="30"/>
      <c r="I35" s="30"/>
      <c r="J35" s="2"/>
      <c r="K35" s="2"/>
      <c r="L35" s="2"/>
      <c r="M35" s="2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0"/>
      <c r="G36" s="30"/>
      <c r="H36" s="30"/>
      <c r="I36" s="30"/>
      <c r="J36" s="2"/>
      <c r="K36" s="2"/>
      <c r="L36" s="2"/>
      <c r="M36" s="2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0"/>
      <c r="G37" s="30"/>
      <c r="H37" s="30"/>
      <c r="I37" s="30"/>
      <c r="J37" s="2"/>
      <c r="K37" s="2"/>
      <c r="L37" s="2"/>
      <c r="M37" s="2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0"/>
      <c r="G38" s="30"/>
      <c r="H38" s="30"/>
      <c r="I38" s="30"/>
      <c r="J38" s="2"/>
      <c r="K38" s="2"/>
      <c r="L38" s="2"/>
      <c r="M38" s="2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0"/>
      <c r="G39" s="30"/>
      <c r="H39" s="30"/>
      <c r="I39" s="30"/>
      <c r="J39" s="2"/>
      <c r="K39" s="2"/>
      <c r="L39" s="2"/>
      <c r="M39" s="2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0"/>
      <c r="G40" s="30"/>
      <c r="H40" s="30"/>
      <c r="I40" s="30"/>
      <c r="J40" s="2"/>
      <c r="K40" s="2"/>
      <c r="L40" s="2"/>
      <c r="M40" s="2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0"/>
      <c r="G41" s="30"/>
      <c r="H41" s="30"/>
      <c r="I41" s="30"/>
      <c r="J41" s="2"/>
      <c r="K41" s="2"/>
      <c r="L41" s="2"/>
      <c r="M41" s="2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0"/>
      <c r="G42" s="30"/>
      <c r="H42" s="30"/>
      <c r="I42" s="30"/>
      <c r="J42" s="2"/>
      <c r="K42" s="2"/>
      <c r="L42" s="2"/>
      <c r="M42" s="2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0"/>
      <c r="G43" s="30"/>
      <c r="H43" s="30"/>
      <c r="I43" s="30"/>
      <c r="J43" s="2"/>
      <c r="K43" s="2"/>
      <c r="L43" s="2"/>
      <c r="M43" s="2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0"/>
      <c r="G44" s="30"/>
      <c r="H44" s="30"/>
      <c r="I44" s="30"/>
      <c r="J44" s="2"/>
      <c r="K44" s="2"/>
      <c r="L44" s="2"/>
      <c r="M44" s="2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0"/>
      <c r="G45" s="30"/>
      <c r="H45" s="30"/>
      <c r="I45" s="30"/>
      <c r="J45" s="2"/>
      <c r="K45" s="2"/>
      <c r="L45" s="2"/>
      <c r="M45" s="2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0"/>
      <c r="G46" s="30"/>
      <c r="H46" s="30"/>
      <c r="I46" s="30"/>
      <c r="J46" s="2"/>
      <c r="K46" s="2"/>
      <c r="L46" s="2"/>
      <c r="M46" s="2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0"/>
      <c r="G47" s="30"/>
      <c r="H47" s="30"/>
      <c r="I47" s="30"/>
      <c r="J47" s="2"/>
      <c r="K47" s="2"/>
      <c r="L47" s="2"/>
      <c r="M47" s="2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0"/>
      <c r="G48" s="30"/>
      <c r="H48" s="30"/>
      <c r="I48" s="30"/>
      <c r="J48" s="2"/>
      <c r="K48" s="2"/>
      <c r="L48" s="2"/>
      <c r="M48" s="2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0"/>
      <c r="G49" s="30"/>
      <c r="H49" s="30"/>
      <c r="I49" s="30"/>
      <c r="J49" s="2"/>
      <c r="K49" s="2"/>
      <c r="L49" s="2"/>
      <c r="M49" s="2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0"/>
      <c r="G50" s="30"/>
      <c r="H50" s="30"/>
      <c r="I50" s="30"/>
      <c r="J50" s="2"/>
      <c r="K50" s="2"/>
      <c r="L50" s="2"/>
      <c r="M50" s="2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0"/>
      <c r="G51" s="30"/>
      <c r="H51" s="30"/>
      <c r="I51" s="30"/>
      <c r="J51" s="2"/>
      <c r="K51" s="2"/>
      <c r="L51" s="2"/>
      <c r="M51" s="2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0"/>
      <c r="G52" s="30"/>
      <c r="H52" s="30"/>
      <c r="I52" s="30"/>
      <c r="J52" s="2"/>
      <c r="K52" s="2"/>
      <c r="L52" s="2"/>
      <c r="M52" s="2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0"/>
      <c r="G53" s="30"/>
      <c r="H53" s="30"/>
      <c r="I53" s="30"/>
      <c r="J53" s="2"/>
      <c r="K53" s="2"/>
      <c r="L53" s="2"/>
      <c r="M53" s="2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0"/>
      <c r="G54" s="30"/>
      <c r="H54" s="30"/>
      <c r="I54" s="30"/>
      <c r="J54" s="2"/>
      <c r="K54" s="2"/>
      <c r="L54" s="2"/>
      <c r="M54" s="2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0"/>
      <c r="G55" s="30"/>
      <c r="H55" s="30"/>
      <c r="I55" s="30"/>
      <c r="J55" s="2"/>
      <c r="K55" s="2"/>
      <c r="L55" s="2"/>
      <c r="M55" s="2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0"/>
      <c r="G56" s="30"/>
      <c r="H56" s="30"/>
      <c r="I56" s="30"/>
      <c r="J56" s="2"/>
      <c r="K56" s="2"/>
      <c r="L56" s="2"/>
      <c r="M56" s="2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0"/>
      <c r="G57" s="30"/>
      <c r="H57" s="30"/>
      <c r="I57" s="30"/>
      <c r="J57" s="2"/>
      <c r="K57" s="2"/>
      <c r="L57" s="2"/>
      <c r="M57" s="2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0"/>
      <c r="G58" s="30"/>
      <c r="H58" s="30"/>
      <c r="I58" s="30"/>
      <c r="J58" s="2"/>
      <c r="K58" s="2"/>
      <c r="L58" s="2"/>
      <c r="M58" s="2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0"/>
      <c r="G59" s="30"/>
      <c r="H59" s="30"/>
      <c r="I59" s="30"/>
      <c r="J59" s="2"/>
      <c r="K59" s="2"/>
      <c r="L59" s="2"/>
      <c r="M59" s="2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0"/>
      <c r="G60" s="30"/>
      <c r="H60" s="30"/>
      <c r="I60" s="30"/>
      <c r="J60" s="2"/>
      <c r="K60" s="2"/>
      <c r="L60" s="2"/>
      <c r="M60" s="2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0"/>
      <c r="G61" s="30"/>
      <c r="H61" s="30"/>
      <c r="I61" s="30"/>
      <c r="J61" s="2"/>
      <c r="K61" s="2"/>
      <c r="L61" s="2"/>
      <c r="M61" s="2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0"/>
      <c r="G62" s="30"/>
      <c r="H62" s="30"/>
      <c r="I62" s="30"/>
      <c r="J62" s="2"/>
      <c r="K62" s="2"/>
      <c r="L62" s="2"/>
      <c r="M62" s="2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0"/>
      <c r="G63" s="30"/>
      <c r="H63" s="30"/>
      <c r="I63" s="30"/>
      <c r="J63" s="2"/>
      <c r="K63" s="2"/>
      <c r="L63" s="2"/>
      <c r="M63" s="2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0"/>
      <c r="G64" s="30"/>
      <c r="H64" s="30"/>
      <c r="I64" s="30"/>
      <c r="J64" s="2"/>
      <c r="K64" s="2"/>
      <c r="L64" s="2"/>
      <c r="M64" s="2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0"/>
      <c r="G65" s="30"/>
      <c r="H65" s="30"/>
      <c r="I65" s="30"/>
      <c r="J65" s="2"/>
      <c r="K65" s="2"/>
      <c r="L65" s="2"/>
      <c r="M65" s="2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0"/>
      <c r="G66" s="30"/>
      <c r="H66" s="30"/>
      <c r="I66" s="30"/>
      <c r="J66" s="2"/>
      <c r="K66" s="2"/>
      <c r="L66" s="2"/>
      <c r="M66" s="2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0"/>
      <c r="G67" s="30"/>
      <c r="H67" s="30"/>
      <c r="I67" s="30"/>
      <c r="J67" s="2"/>
      <c r="K67" s="2"/>
      <c r="L67" s="2"/>
      <c r="M67" s="2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0"/>
      <c r="G68" s="30"/>
      <c r="H68" s="30"/>
      <c r="I68" s="30"/>
      <c r="J68" s="2"/>
      <c r="K68" s="2"/>
      <c r="L68" s="2"/>
      <c r="M68" s="2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0"/>
      <c r="G69" s="30"/>
      <c r="H69" s="30"/>
      <c r="I69" s="30"/>
      <c r="J69" s="2"/>
      <c r="K69" s="2"/>
      <c r="L69" s="2"/>
      <c r="M69" s="2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0"/>
      <c r="G70" s="30"/>
      <c r="H70" s="30"/>
      <c r="I70" s="30"/>
      <c r="J70" s="2"/>
      <c r="K70" s="2"/>
      <c r="L70" s="2"/>
      <c r="M70" s="2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0"/>
      <c r="G71" s="30"/>
      <c r="H71" s="30"/>
      <c r="I71" s="30"/>
      <c r="J71" s="2"/>
      <c r="K71" s="2"/>
      <c r="L71" s="2"/>
      <c r="M71" s="2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0"/>
      <c r="G72" s="30"/>
      <c r="H72" s="30"/>
      <c r="I72" s="30"/>
      <c r="J72" s="2"/>
      <c r="K72" s="2"/>
      <c r="L72" s="2"/>
      <c r="M72" s="2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0"/>
      <c r="G73" s="30"/>
      <c r="H73" s="30"/>
      <c r="I73" s="30"/>
      <c r="J73" s="2"/>
      <c r="K73" s="2"/>
      <c r="L73" s="2"/>
      <c r="M73" s="2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0"/>
      <c r="G74" s="30"/>
      <c r="H74" s="30"/>
      <c r="I74" s="30"/>
      <c r="J74" s="2"/>
      <c r="K74" s="2"/>
      <c r="L74" s="2"/>
      <c r="M74" s="2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0"/>
      <c r="G75" s="30"/>
      <c r="H75" s="30"/>
      <c r="I75" s="30"/>
      <c r="J75" s="2"/>
      <c r="K75" s="2"/>
      <c r="L75" s="2"/>
      <c r="M75" s="2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0"/>
      <c r="G76" s="30"/>
      <c r="H76" s="30"/>
      <c r="I76" s="30"/>
      <c r="J76" s="2"/>
      <c r="K76" s="2"/>
      <c r="L76" s="2"/>
      <c r="M76" s="2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0"/>
      <c r="G77" s="30"/>
      <c r="H77" s="30"/>
      <c r="I77" s="30"/>
      <c r="J77" s="2"/>
      <c r="K77" s="2"/>
      <c r="L77" s="2"/>
      <c r="M77" s="2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0"/>
      <c r="G78" s="30"/>
      <c r="H78" s="30"/>
      <c r="I78" s="30"/>
      <c r="J78" s="2"/>
      <c r="K78" s="2"/>
      <c r="L78" s="2"/>
      <c r="M78" s="2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0"/>
      <c r="G79" s="30"/>
      <c r="H79" s="30"/>
      <c r="I79" s="30"/>
      <c r="J79" s="2"/>
      <c r="K79" s="2"/>
      <c r="L79" s="2"/>
      <c r="M79" s="2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0"/>
      <c r="G80" s="30"/>
      <c r="H80" s="30"/>
      <c r="I80" s="30"/>
      <c r="J80" s="2"/>
      <c r="K80" s="2"/>
      <c r="L80" s="2"/>
      <c r="M80" s="2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0"/>
      <c r="G81" s="30"/>
      <c r="H81" s="30"/>
      <c r="I81" s="30"/>
      <c r="J81" s="2"/>
      <c r="K81" s="2"/>
      <c r="L81" s="2"/>
      <c r="M81" s="2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0"/>
      <c r="G82" s="30"/>
      <c r="H82" s="30"/>
      <c r="I82" s="30"/>
      <c r="J82" s="2"/>
      <c r="K82" s="2"/>
      <c r="L82" s="2"/>
      <c r="M82" s="2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0"/>
      <c r="G83" s="30"/>
      <c r="H83" s="30"/>
      <c r="I83" s="30"/>
      <c r="J83" s="2"/>
      <c r="K83" s="2"/>
      <c r="L83" s="2"/>
      <c r="M83" s="2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0"/>
      <c r="G84" s="30"/>
      <c r="H84" s="30"/>
      <c r="I84" s="30"/>
      <c r="J84" s="2"/>
      <c r="K84" s="2"/>
      <c r="L84" s="2"/>
      <c r="M84" s="2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0"/>
      <c r="G85" s="30"/>
      <c r="H85" s="30"/>
      <c r="I85" s="30"/>
      <c r="J85" s="2"/>
      <c r="K85" s="2"/>
      <c r="L85" s="2"/>
      <c r="M85" s="2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0"/>
      <c r="G86" s="30"/>
      <c r="H86" s="30"/>
      <c r="I86" s="30"/>
      <c r="J86" s="2"/>
      <c r="K86" s="2"/>
      <c r="L86" s="2"/>
      <c r="M86" s="2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0"/>
      <c r="G87" s="30"/>
      <c r="H87" s="30"/>
      <c r="I87" s="30"/>
      <c r="J87" s="2"/>
      <c r="K87" s="2"/>
      <c r="L87" s="2"/>
      <c r="M87" s="2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0"/>
      <c r="G88" s="30"/>
      <c r="H88" s="30"/>
      <c r="I88" s="30"/>
      <c r="J88" s="2"/>
      <c r="K88" s="2"/>
      <c r="L88" s="2"/>
      <c r="M88" s="2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0"/>
      <c r="G89" s="30"/>
      <c r="H89" s="30"/>
      <c r="I89" s="30"/>
      <c r="J89" s="2"/>
      <c r="K89" s="2"/>
      <c r="L89" s="2"/>
      <c r="M89" s="2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0"/>
      <c r="G90" s="30"/>
      <c r="H90" s="30"/>
      <c r="I90" s="30"/>
      <c r="J90" s="2"/>
      <c r="K90" s="2"/>
      <c r="L90" s="2"/>
      <c r="M90" s="2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0"/>
      <c r="G91" s="30"/>
      <c r="H91" s="30"/>
      <c r="I91" s="30"/>
      <c r="J91" s="2"/>
      <c r="K91" s="2"/>
      <c r="L91" s="2"/>
      <c r="M91" s="2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0"/>
      <c r="G92" s="30"/>
      <c r="H92" s="30"/>
      <c r="I92" s="30"/>
      <c r="J92" s="2"/>
      <c r="K92" s="2"/>
      <c r="L92" s="2"/>
      <c r="M92" s="2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0"/>
      <c r="G93" s="30"/>
      <c r="H93" s="30"/>
      <c r="I93" s="30"/>
      <c r="J93" s="2"/>
      <c r="K93" s="2"/>
      <c r="L93" s="2"/>
      <c r="M93" s="2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0"/>
      <c r="G94" s="30"/>
      <c r="H94" s="30"/>
      <c r="I94" s="30"/>
      <c r="J94" s="2"/>
      <c r="K94" s="2"/>
      <c r="L94" s="2"/>
      <c r="M94" s="2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0"/>
      <c r="G95" s="30"/>
      <c r="H95" s="30"/>
      <c r="I95" s="30"/>
      <c r="J95" s="2"/>
      <c r="K95" s="2"/>
      <c r="L95" s="2"/>
      <c r="M95" s="2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0"/>
      <c r="G96" s="30"/>
      <c r="H96" s="30"/>
      <c r="I96" s="30"/>
      <c r="J96" s="2"/>
      <c r="K96" s="2"/>
      <c r="L96" s="2"/>
      <c r="M96" s="2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0"/>
      <c r="G97" s="30"/>
      <c r="H97" s="30"/>
      <c r="I97" s="30"/>
      <c r="J97" s="2"/>
      <c r="K97" s="2"/>
      <c r="L97" s="2"/>
      <c r="M97" s="2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0"/>
      <c r="G98" s="30"/>
      <c r="H98" s="30"/>
      <c r="I98" s="30"/>
      <c r="J98" s="2"/>
      <c r="K98" s="2"/>
      <c r="L98" s="2"/>
      <c r="M98" s="2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0"/>
      <c r="G99" s="30"/>
      <c r="H99" s="30"/>
      <c r="I99" s="30"/>
      <c r="J99" s="2"/>
      <c r="K99" s="2"/>
      <c r="L99" s="2"/>
      <c r="M99" s="2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2"/>
      <c r="K100" s="2"/>
      <c r="L100" s="2"/>
      <c r="M100" s="2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2"/>
      <c r="K101" s="2"/>
      <c r="L101" s="2"/>
      <c r="M101" s="2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2"/>
      <c r="K102" s="2"/>
      <c r="L102" s="2"/>
      <c r="M102" s="2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2"/>
      <c r="K103" s="2"/>
      <c r="L103" s="2"/>
      <c r="M103" s="2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2"/>
      <c r="K104" s="2"/>
      <c r="L104" s="2"/>
      <c r="M104" s="2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2"/>
      <c r="K105" s="2"/>
      <c r="L105" s="2"/>
      <c r="M105" s="2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2"/>
      <c r="K106" s="2"/>
      <c r="L106" s="2"/>
      <c r="M106" s="2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2"/>
      <c r="K107" s="2"/>
      <c r="L107" s="2"/>
      <c r="M107" s="2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2"/>
      <c r="K108" s="2"/>
      <c r="L108" s="2"/>
      <c r="M108" s="2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2"/>
      <c r="K109" s="2"/>
      <c r="L109" s="2"/>
      <c r="M109" s="2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2"/>
      <c r="K110" s="2"/>
      <c r="L110" s="2"/>
      <c r="M110" s="2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2"/>
      <c r="K111" s="2"/>
      <c r="L111" s="2"/>
      <c r="M111" s="2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2"/>
      <c r="K112" s="2"/>
      <c r="L112" s="2"/>
      <c r="M112" s="2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2"/>
      <c r="K113" s="2"/>
      <c r="L113" s="2"/>
      <c r="M113" s="2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2"/>
      <c r="K114" s="2"/>
      <c r="L114" s="2"/>
      <c r="M114" s="2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2"/>
      <c r="K115" s="2"/>
      <c r="L115" s="2"/>
      <c r="M115" s="2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2"/>
      <c r="K116" s="2"/>
      <c r="L116" s="2"/>
      <c r="M116" s="2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2"/>
      <c r="K117" s="2"/>
      <c r="L117" s="2"/>
      <c r="M117" s="2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2"/>
      <c r="K118" s="2"/>
      <c r="L118" s="2"/>
      <c r="M118" s="2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2"/>
      <c r="K119" s="2"/>
      <c r="L119" s="2"/>
      <c r="M119" s="2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2"/>
      <c r="K120" s="2"/>
      <c r="L120" s="2"/>
      <c r="M120" s="2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2"/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I121">
    <cfRule type="expression" dxfId="13" priority="1">
      <formula>MOD(ROW(),2)=0</formula>
    </cfRule>
  </conditionalFormatting>
  <hyperlinks>
    <hyperlink ref="X1" location="'Cover'!A1" display="Cover" xr:uid="{00000000-0004-0000-0D00-000000000000}"/>
    <hyperlink ref="Y1" location="'Index'!A1" display="Index" xr:uid="{00000000-0004-0000-0D00-000001000000}"/>
    <hyperlink ref="Z1" location="'Executive Dashboard'!A1" display="Dashboard" xr:uid="{00000000-0004-0000-0D00-000002000000}"/>
    <hyperlink ref="AA1" location="'Live KPI Overview'!A1" display="Analytics" xr:uid="{00000000-0004-0000-0D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50"/>
  <sheetViews>
    <sheetView showGridLines="0" workbookViewId="0">
      <pane ySplit="1" topLeftCell="A104" activePane="bottomLeft" state="frozen"/>
      <selection pane="bottomLeft" sqref="A1:F121"/>
    </sheetView>
  </sheetViews>
  <sheetFormatPr defaultRowHeight="13.8"/>
  <cols>
    <col min="1" max="3" width="17" customWidth="1"/>
    <col min="4" max="4" width="17.296875" customWidth="1"/>
    <col min="5" max="6" width="17" customWidth="1"/>
    <col min="7" max="21" width="19" customWidth="1"/>
    <col min="24" max="27" width="13" customWidth="1"/>
  </cols>
  <sheetData>
    <row r="1" spans="1:27" ht="34.950000000000003" customHeight="1">
      <c r="A1" s="29" t="s">
        <v>210</v>
      </c>
      <c r="B1" s="29" t="s">
        <v>211</v>
      </c>
      <c r="C1" s="29" t="s">
        <v>99</v>
      </c>
      <c r="D1" s="29" t="s">
        <v>212</v>
      </c>
      <c r="E1" s="29" t="s">
        <v>203</v>
      </c>
      <c r="F1" s="29" t="s">
        <v>149</v>
      </c>
      <c r="G1" s="4"/>
      <c r="H1" s="4"/>
      <c r="I1" s="4"/>
      <c r="J1" s="4"/>
      <c r="K1" s="4"/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/>
      <c r="B2" s="30"/>
      <c r="C2" s="30"/>
      <c r="D2" s="30"/>
      <c r="E2" s="30"/>
      <c r="F2" s="30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/>
      <c r="B3" s="30"/>
      <c r="C3" s="30"/>
      <c r="D3" s="30"/>
      <c r="E3" s="30"/>
      <c r="F3" s="30"/>
      <c r="G3" s="2"/>
      <c r="H3" s="2"/>
      <c r="I3" s="2"/>
      <c r="J3" s="2"/>
      <c r="K3" s="2"/>
      <c r="L3" s="2"/>
      <c r="M3" s="2"/>
      <c r="N3" s="2"/>
      <c r="O3" s="2"/>
      <c r="P3" s="2"/>
    </row>
    <row r="4" spans="1:27" ht="22.95" customHeight="1">
      <c r="A4" s="30"/>
      <c r="B4" s="30"/>
      <c r="C4" s="30"/>
      <c r="D4" s="30"/>
      <c r="E4" s="30"/>
      <c r="F4" s="30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7" ht="22.95" customHeight="1">
      <c r="A5" s="30"/>
      <c r="B5" s="30"/>
      <c r="C5" s="30"/>
      <c r="D5" s="30"/>
      <c r="E5" s="30"/>
      <c r="F5" s="30"/>
      <c r="G5" s="2"/>
      <c r="H5" s="2"/>
      <c r="I5" s="2"/>
      <c r="J5" s="2"/>
      <c r="K5" s="2"/>
      <c r="L5" s="2"/>
      <c r="M5" s="2"/>
      <c r="N5" s="2"/>
      <c r="O5" s="2"/>
      <c r="P5" s="2"/>
    </row>
    <row r="6" spans="1:27" ht="22.95" customHeight="1">
      <c r="A6" s="30"/>
      <c r="B6" s="30"/>
      <c r="C6" s="30"/>
      <c r="D6" s="30"/>
      <c r="E6" s="30"/>
      <c r="F6" s="30"/>
      <c r="G6" s="2"/>
      <c r="H6" s="2"/>
      <c r="I6" s="2"/>
      <c r="J6" s="2"/>
      <c r="K6" s="2"/>
      <c r="L6" s="2"/>
      <c r="M6" s="2"/>
      <c r="N6" s="2"/>
      <c r="O6" s="2"/>
      <c r="P6" s="2"/>
    </row>
    <row r="7" spans="1:27" ht="22.95" customHeight="1">
      <c r="A7" s="30"/>
      <c r="B7" s="30"/>
      <c r="C7" s="30"/>
      <c r="D7" s="30"/>
      <c r="E7" s="30"/>
      <c r="F7" s="30"/>
      <c r="G7" s="2"/>
      <c r="H7" s="2"/>
      <c r="I7" s="2"/>
      <c r="J7" s="2"/>
      <c r="K7" s="2"/>
      <c r="L7" s="2"/>
      <c r="M7" s="2"/>
      <c r="N7" s="2"/>
      <c r="O7" s="2"/>
      <c r="P7" s="2"/>
    </row>
    <row r="8" spans="1:27" ht="22.95" customHeight="1">
      <c r="A8" s="30"/>
      <c r="B8" s="30"/>
      <c r="C8" s="30"/>
      <c r="D8" s="30"/>
      <c r="E8" s="30"/>
      <c r="F8" s="30"/>
      <c r="G8" s="2"/>
      <c r="H8" s="2"/>
      <c r="I8" s="2"/>
      <c r="J8" s="2"/>
      <c r="K8" s="2"/>
      <c r="L8" s="2"/>
      <c r="M8" s="2"/>
      <c r="N8" s="2"/>
      <c r="O8" s="2"/>
      <c r="P8" s="2"/>
    </row>
    <row r="9" spans="1:27" ht="22.95" customHeight="1">
      <c r="A9" s="30"/>
      <c r="B9" s="30"/>
      <c r="C9" s="30"/>
      <c r="D9" s="30"/>
      <c r="E9" s="30"/>
      <c r="F9" s="30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0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0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0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0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0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0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0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0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0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0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0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0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0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0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0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0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0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0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0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0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0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0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0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0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0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0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0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0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0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0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0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0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0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0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0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0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0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0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0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0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0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0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0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0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0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0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0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0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0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0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0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0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0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0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0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0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0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0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0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0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0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0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0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0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0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0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0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0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0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0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0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0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0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0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0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0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0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0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0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0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0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0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0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0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0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0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0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0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0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0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0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0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0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0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0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0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0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0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0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0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0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0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0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0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0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0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0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0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0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0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0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0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F121">
    <cfRule type="expression" dxfId="12" priority="1">
      <formula>MOD(ROW(),2)=0</formula>
    </cfRule>
  </conditionalFormatting>
  <hyperlinks>
    <hyperlink ref="X1" location="'Cover'!A1" display="Cover" xr:uid="{00000000-0004-0000-0E00-000000000000}"/>
    <hyperlink ref="Y1" location="'Index'!A1" display="Index" xr:uid="{00000000-0004-0000-0E00-000001000000}"/>
    <hyperlink ref="Z1" location="'Executive Dashboard'!A1" display="Dashboard" xr:uid="{00000000-0004-0000-0E00-000002000000}"/>
    <hyperlink ref="AA1" location="'Live KPI Overview'!A1" display="Analytics" xr:uid="{00000000-0004-0000-0E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50"/>
  <sheetViews>
    <sheetView showGridLines="0" workbookViewId="0">
      <pane ySplit="1" topLeftCell="A104" activePane="bottomLeft" state="frozen"/>
      <selection pane="bottomLeft" sqref="A1:H121"/>
    </sheetView>
  </sheetViews>
  <sheetFormatPr defaultRowHeight="13.8"/>
  <cols>
    <col min="1" max="1" width="17" customWidth="1"/>
    <col min="2" max="2" width="34" customWidth="1"/>
    <col min="3" max="7" width="17" customWidth="1"/>
    <col min="8" max="8" width="19.19921875" customWidth="1"/>
    <col min="9" max="21" width="19" customWidth="1"/>
    <col min="24" max="27" width="13" customWidth="1"/>
  </cols>
  <sheetData>
    <row r="1" spans="1:27" ht="34.950000000000003" customHeight="1">
      <c r="A1" s="29" t="s">
        <v>213</v>
      </c>
      <c r="B1" s="29" t="s">
        <v>214</v>
      </c>
      <c r="C1" s="29" t="s">
        <v>189</v>
      </c>
      <c r="D1" s="29" t="s">
        <v>99</v>
      </c>
      <c r="E1" s="29" t="s">
        <v>215</v>
      </c>
      <c r="F1" s="29" t="s">
        <v>149</v>
      </c>
      <c r="G1" s="29" t="s">
        <v>216</v>
      </c>
      <c r="H1" s="29" t="s">
        <v>217</v>
      </c>
      <c r="I1" s="4"/>
      <c r="J1" s="4"/>
      <c r="K1" s="4"/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/>
      <c r="B2" s="30"/>
      <c r="C2" s="30"/>
      <c r="D2" s="30"/>
      <c r="E2" s="30"/>
      <c r="F2" s="30"/>
      <c r="G2" s="30"/>
      <c r="H2" s="30"/>
      <c r="I2" s="7"/>
      <c r="J2" s="7"/>
      <c r="K2" s="7"/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/>
      <c r="B3" s="30"/>
      <c r="C3" s="30"/>
      <c r="D3" s="30"/>
      <c r="E3" s="30"/>
      <c r="F3" s="30"/>
      <c r="G3" s="30"/>
      <c r="H3" s="30"/>
      <c r="I3" s="2"/>
      <c r="J3" s="2"/>
      <c r="K3" s="2"/>
      <c r="L3" s="2"/>
      <c r="M3" s="2"/>
      <c r="N3" s="2"/>
      <c r="O3" s="2"/>
      <c r="P3" s="2"/>
    </row>
    <row r="4" spans="1:27" ht="22.95" customHeight="1">
      <c r="A4" s="30"/>
      <c r="B4" s="30"/>
      <c r="C4" s="30"/>
      <c r="D4" s="30"/>
      <c r="E4" s="30"/>
      <c r="F4" s="30"/>
      <c r="G4" s="30"/>
      <c r="H4" s="30"/>
      <c r="I4" s="2"/>
      <c r="J4" s="2"/>
      <c r="K4" s="2"/>
      <c r="L4" s="2"/>
      <c r="M4" s="2"/>
      <c r="N4" s="2"/>
      <c r="O4" s="2"/>
      <c r="P4" s="2"/>
    </row>
    <row r="5" spans="1:27" ht="22.95" customHeight="1">
      <c r="A5" s="30"/>
      <c r="B5" s="30"/>
      <c r="C5" s="30"/>
      <c r="D5" s="30"/>
      <c r="E5" s="30"/>
      <c r="F5" s="30"/>
      <c r="G5" s="30"/>
      <c r="H5" s="30"/>
      <c r="I5" s="2"/>
      <c r="J5" s="2"/>
      <c r="K5" s="2"/>
      <c r="L5" s="2"/>
      <c r="M5" s="2"/>
      <c r="N5" s="2"/>
      <c r="O5" s="2"/>
      <c r="P5" s="2"/>
    </row>
    <row r="6" spans="1:27" ht="22.95" customHeight="1">
      <c r="A6" s="30"/>
      <c r="B6" s="30"/>
      <c r="C6" s="30"/>
      <c r="D6" s="30"/>
      <c r="E6" s="30"/>
      <c r="F6" s="30"/>
      <c r="G6" s="30"/>
      <c r="H6" s="30"/>
      <c r="I6" s="2"/>
      <c r="J6" s="2"/>
      <c r="K6" s="2"/>
      <c r="L6" s="2"/>
      <c r="M6" s="2"/>
      <c r="N6" s="2"/>
      <c r="O6" s="2"/>
      <c r="P6" s="2"/>
    </row>
    <row r="7" spans="1:27" ht="22.95" customHeight="1">
      <c r="A7" s="30"/>
      <c r="B7" s="30"/>
      <c r="C7" s="30"/>
      <c r="D7" s="30"/>
      <c r="E7" s="30"/>
      <c r="F7" s="30"/>
      <c r="G7" s="30"/>
      <c r="H7" s="30"/>
      <c r="I7" s="2"/>
      <c r="J7" s="2"/>
      <c r="K7" s="2"/>
      <c r="L7" s="2"/>
      <c r="M7" s="2"/>
      <c r="N7" s="2"/>
      <c r="O7" s="2"/>
      <c r="P7" s="2"/>
    </row>
    <row r="8" spans="1:27" ht="22.95" customHeight="1">
      <c r="A8" s="30"/>
      <c r="B8" s="30"/>
      <c r="C8" s="30"/>
      <c r="D8" s="30"/>
      <c r="E8" s="30"/>
      <c r="F8" s="30"/>
      <c r="G8" s="30"/>
      <c r="H8" s="30"/>
      <c r="I8" s="2"/>
      <c r="J8" s="2"/>
      <c r="K8" s="2"/>
      <c r="L8" s="2"/>
      <c r="M8" s="2"/>
      <c r="N8" s="2"/>
      <c r="O8" s="2"/>
      <c r="P8" s="2"/>
    </row>
    <row r="9" spans="1:27" ht="22.95" customHeight="1">
      <c r="A9" s="30"/>
      <c r="B9" s="30"/>
      <c r="C9" s="30"/>
      <c r="D9" s="30"/>
      <c r="E9" s="30"/>
      <c r="F9" s="30"/>
      <c r="G9" s="30"/>
      <c r="H9" s="30"/>
      <c r="I9" s="2"/>
      <c r="J9" s="2"/>
      <c r="K9" s="2"/>
      <c r="L9" s="2"/>
      <c r="M9" s="2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0"/>
      <c r="G10" s="30"/>
      <c r="H10" s="30"/>
      <c r="I10" s="2"/>
      <c r="J10" s="2"/>
      <c r="K10" s="2"/>
      <c r="L10" s="2"/>
      <c r="M10" s="2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0"/>
      <c r="G11" s="30"/>
      <c r="H11" s="30"/>
      <c r="I11" s="2"/>
      <c r="J11" s="2"/>
      <c r="K11" s="2"/>
      <c r="L11" s="2"/>
      <c r="M11" s="2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0"/>
      <c r="G12" s="30"/>
      <c r="H12" s="30"/>
      <c r="I12" s="2"/>
      <c r="J12" s="2"/>
      <c r="K12" s="2"/>
      <c r="L12" s="2"/>
      <c r="M12" s="2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0"/>
      <c r="G13" s="30"/>
      <c r="H13" s="30"/>
      <c r="I13" s="2"/>
      <c r="J13" s="2"/>
      <c r="K13" s="2"/>
      <c r="L13" s="2"/>
      <c r="M13" s="2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0"/>
      <c r="G14" s="30"/>
      <c r="H14" s="30"/>
      <c r="I14" s="2"/>
      <c r="J14" s="2"/>
      <c r="K14" s="2"/>
      <c r="L14" s="2"/>
      <c r="M14" s="2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0"/>
      <c r="G15" s="30"/>
      <c r="H15" s="30"/>
      <c r="I15" s="2"/>
      <c r="J15" s="2"/>
      <c r="K15" s="2"/>
      <c r="L15" s="2"/>
      <c r="M15" s="2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0"/>
      <c r="G16" s="30"/>
      <c r="H16" s="30"/>
      <c r="I16" s="2"/>
      <c r="J16" s="2"/>
      <c r="K16" s="2"/>
      <c r="L16" s="2"/>
      <c r="M16" s="2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0"/>
      <c r="G17" s="30"/>
      <c r="H17" s="30"/>
      <c r="I17" s="2"/>
      <c r="J17" s="2"/>
      <c r="K17" s="2"/>
      <c r="L17" s="2"/>
      <c r="M17" s="2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0"/>
      <c r="G18" s="30"/>
      <c r="H18" s="30"/>
      <c r="I18" s="2"/>
      <c r="J18" s="2"/>
      <c r="K18" s="2"/>
      <c r="L18" s="2"/>
      <c r="M18" s="2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0"/>
      <c r="G19" s="30"/>
      <c r="H19" s="30"/>
      <c r="I19" s="2"/>
      <c r="J19" s="2"/>
      <c r="K19" s="2"/>
      <c r="L19" s="2"/>
      <c r="M19" s="2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0"/>
      <c r="G20" s="30"/>
      <c r="H20" s="30"/>
      <c r="I20" s="2"/>
      <c r="J20" s="2"/>
      <c r="K20" s="2"/>
      <c r="L20" s="2"/>
      <c r="M20" s="2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0"/>
      <c r="G21" s="30"/>
      <c r="H21" s="30"/>
      <c r="I21" s="2"/>
      <c r="J21" s="2"/>
      <c r="K21" s="2"/>
      <c r="L21" s="2"/>
      <c r="M21" s="2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0"/>
      <c r="G22" s="30"/>
      <c r="H22" s="30"/>
      <c r="I22" s="2"/>
      <c r="J22" s="2"/>
      <c r="K22" s="2"/>
      <c r="L22" s="2"/>
      <c r="M22" s="2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0"/>
      <c r="G23" s="30"/>
      <c r="H23" s="30"/>
      <c r="I23" s="2"/>
      <c r="J23" s="2"/>
      <c r="K23" s="2"/>
      <c r="L23" s="2"/>
      <c r="M23" s="2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0"/>
      <c r="G24" s="30"/>
      <c r="H24" s="30"/>
      <c r="I24" s="2"/>
      <c r="J24" s="2"/>
      <c r="K24" s="2"/>
      <c r="L24" s="2"/>
      <c r="M24" s="2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0"/>
      <c r="G25" s="30"/>
      <c r="H25" s="30"/>
      <c r="I25" s="2"/>
      <c r="J25" s="2"/>
      <c r="K25" s="2"/>
      <c r="L25" s="2"/>
      <c r="M25" s="2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0"/>
      <c r="G26" s="30"/>
      <c r="H26" s="30"/>
      <c r="I26" s="2"/>
      <c r="J26" s="2"/>
      <c r="K26" s="2"/>
      <c r="L26" s="2"/>
      <c r="M26" s="2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0"/>
      <c r="G27" s="30"/>
      <c r="H27" s="30"/>
      <c r="I27" s="2"/>
      <c r="J27" s="2"/>
      <c r="K27" s="2"/>
      <c r="L27" s="2"/>
      <c r="M27" s="2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0"/>
      <c r="G28" s="30"/>
      <c r="H28" s="30"/>
      <c r="I28" s="2"/>
      <c r="J28" s="2"/>
      <c r="K28" s="2"/>
      <c r="L28" s="2"/>
      <c r="M28" s="2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0"/>
      <c r="G29" s="30"/>
      <c r="H29" s="30"/>
      <c r="I29" s="2"/>
      <c r="J29" s="2"/>
      <c r="K29" s="2"/>
      <c r="L29" s="2"/>
      <c r="M29" s="2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0"/>
      <c r="G30" s="30"/>
      <c r="H30" s="30"/>
      <c r="I30" s="2"/>
      <c r="J30" s="2"/>
      <c r="K30" s="2"/>
      <c r="L30" s="2"/>
      <c r="M30" s="2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0"/>
      <c r="G31" s="30"/>
      <c r="H31" s="30"/>
      <c r="I31" s="2"/>
      <c r="J31" s="2"/>
      <c r="K31" s="2"/>
      <c r="L31" s="2"/>
      <c r="M31" s="2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0"/>
      <c r="G32" s="30"/>
      <c r="H32" s="30"/>
      <c r="I32" s="2"/>
      <c r="J32" s="2"/>
      <c r="K32" s="2"/>
      <c r="L32" s="2"/>
      <c r="M32" s="2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0"/>
      <c r="G33" s="30"/>
      <c r="H33" s="30"/>
      <c r="I33" s="2"/>
      <c r="J33" s="2"/>
      <c r="K33" s="2"/>
      <c r="L33" s="2"/>
      <c r="M33" s="2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0"/>
      <c r="G34" s="30"/>
      <c r="H34" s="30"/>
      <c r="I34" s="2"/>
      <c r="J34" s="2"/>
      <c r="K34" s="2"/>
      <c r="L34" s="2"/>
      <c r="M34" s="2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0"/>
      <c r="G35" s="30"/>
      <c r="H35" s="30"/>
      <c r="I35" s="2"/>
      <c r="J35" s="2"/>
      <c r="K35" s="2"/>
      <c r="L35" s="2"/>
      <c r="M35" s="2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0"/>
      <c r="G36" s="30"/>
      <c r="H36" s="30"/>
      <c r="I36" s="2"/>
      <c r="J36" s="2"/>
      <c r="K36" s="2"/>
      <c r="L36" s="2"/>
      <c r="M36" s="2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0"/>
      <c r="G37" s="30"/>
      <c r="H37" s="30"/>
      <c r="I37" s="2"/>
      <c r="J37" s="2"/>
      <c r="K37" s="2"/>
      <c r="L37" s="2"/>
      <c r="M37" s="2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0"/>
      <c r="G38" s="30"/>
      <c r="H38" s="30"/>
      <c r="I38" s="2"/>
      <c r="J38" s="2"/>
      <c r="K38" s="2"/>
      <c r="L38" s="2"/>
      <c r="M38" s="2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0"/>
      <c r="G39" s="30"/>
      <c r="H39" s="30"/>
      <c r="I39" s="2"/>
      <c r="J39" s="2"/>
      <c r="K39" s="2"/>
      <c r="L39" s="2"/>
      <c r="M39" s="2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0"/>
      <c r="G40" s="30"/>
      <c r="H40" s="30"/>
      <c r="I40" s="2"/>
      <c r="J40" s="2"/>
      <c r="K40" s="2"/>
      <c r="L40" s="2"/>
      <c r="M40" s="2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0"/>
      <c r="G41" s="30"/>
      <c r="H41" s="30"/>
      <c r="I41" s="2"/>
      <c r="J41" s="2"/>
      <c r="K41" s="2"/>
      <c r="L41" s="2"/>
      <c r="M41" s="2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0"/>
      <c r="G42" s="30"/>
      <c r="H42" s="30"/>
      <c r="I42" s="2"/>
      <c r="J42" s="2"/>
      <c r="K42" s="2"/>
      <c r="L42" s="2"/>
      <c r="M42" s="2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0"/>
      <c r="G43" s="30"/>
      <c r="H43" s="30"/>
      <c r="I43" s="2"/>
      <c r="J43" s="2"/>
      <c r="K43" s="2"/>
      <c r="L43" s="2"/>
      <c r="M43" s="2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0"/>
      <c r="G44" s="30"/>
      <c r="H44" s="30"/>
      <c r="I44" s="2"/>
      <c r="J44" s="2"/>
      <c r="K44" s="2"/>
      <c r="L44" s="2"/>
      <c r="M44" s="2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0"/>
      <c r="G45" s="30"/>
      <c r="H45" s="30"/>
      <c r="I45" s="2"/>
      <c r="J45" s="2"/>
      <c r="K45" s="2"/>
      <c r="L45" s="2"/>
      <c r="M45" s="2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0"/>
      <c r="G46" s="30"/>
      <c r="H46" s="30"/>
      <c r="I46" s="2"/>
      <c r="J46" s="2"/>
      <c r="K46" s="2"/>
      <c r="L46" s="2"/>
      <c r="M46" s="2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0"/>
      <c r="G47" s="30"/>
      <c r="H47" s="30"/>
      <c r="I47" s="2"/>
      <c r="J47" s="2"/>
      <c r="K47" s="2"/>
      <c r="L47" s="2"/>
      <c r="M47" s="2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0"/>
      <c r="G48" s="30"/>
      <c r="H48" s="30"/>
      <c r="I48" s="2"/>
      <c r="J48" s="2"/>
      <c r="K48" s="2"/>
      <c r="L48" s="2"/>
      <c r="M48" s="2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0"/>
      <c r="G49" s="30"/>
      <c r="H49" s="30"/>
      <c r="I49" s="2"/>
      <c r="J49" s="2"/>
      <c r="K49" s="2"/>
      <c r="L49" s="2"/>
      <c r="M49" s="2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0"/>
      <c r="G50" s="30"/>
      <c r="H50" s="30"/>
      <c r="I50" s="2"/>
      <c r="J50" s="2"/>
      <c r="K50" s="2"/>
      <c r="L50" s="2"/>
      <c r="M50" s="2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0"/>
      <c r="G51" s="30"/>
      <c r="H51" s="30"/>
      <c r="I51" s="2"/>
      <c r="J51" s="2"/>
      <c r="K51" s="2"/>
      <c r="L51" s="2"/>
      <c r="M51" s="2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0"/>
      <c r="G52" s="30"/>
      <c r="H52" s="30"/>
      <c r="I52" s="2"/>
      <c r="J52" s="2"/>
      <c r="K52" s="2"/>
      <c r="L52" s="2"/>
      <c r="M52" s="2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0"/>
      <c r="G53" s="30"/>
      <c r="H53" s="30"/>
      <c r="I53" s="2"/>
      <c r="J53" s="2"/>
      <c r="K53" s="2"/>
      <c r="L53" s="2"/>
      <c r="M53" s="2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0"/>
      <c r="G54" s="30"/>
      <c r="H54" s="30"/>
      <c r="I54" s="2"/>
      <c r="J54" s="2"/>
      <c r="K54" s="2"/>
      <c r="L54" s="2"/>
      <c r="M54" s="2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0"/>
      <c r="G55" s="30"/>
      <c r="H55" s="30"/>
      <c r="I55" s="2"/>
      <c r="J55" s="2"/>
      <c r="K55" s="2"/>
      <c r="L55" s="2"/>
      <c r="M55" s="2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0"/>
      <c r="G56" s="30"/>
      <c r="H56" s="30"/>
      <c r="I56" s="2"/>
      <c r="J56" s="2"/>
      <c r="K56" s="2"/>
      <c r="L56" s="2"/>
      <c r="M56" s="2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0"/>
      <c r="G57" s="30"/>
      <c r="H57" s="30"/>
      <c r="I57" s="2"/>
      <c r="J57" s="2"/>
      <c r="K57" s="2"/>
      <c r="L57" s="2"/>
      <c r="M57" s="2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0"/>
      <c r="G58" s="30"/>
      <c r="H58" s="30"/>
      <c r="I58" s="2"/>
      <c r="J58" s="2"/>
      <c r="K58" s="2"/>
      <c r="L58" s="2"/>
      <c r="M58" s="2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0"/>
      <c r="G59" s="30"/>
      <c r="H59" s="30"/>
      <c r="I59" s="2"/>
      <c r="J59" s="2"/>
      <c r="K59" s="2"/>
      <c r="L59" s="2"/>
      <c r="M59" s="2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0"/>
      <c r="G60" s="30"/>
      <c r="H60" s="30"/>
      <c r="I60" s="2"/>
      <c r="J60" s="2"/>
      <c r="K60" s="2"/>
      <c r="L60" s="2"/>
      <c r="M60" s="2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0"/>
      <c r="G61" s="30"/>
      <c r="H61" s="30"/>
      <c r="I61" s="2"/>
      <c r="J61" s="2"/>
      <c r="K61" s="2"/>
      <c r="L61" s="2"/>
      <c r="M61" s="2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0"/>
      <c r="G62" s="30"/>
      <c r="H62" s="30"/>
      <c r="I62" s="2"/>
      <c r="J62" s="2"/>
      <c r="K62" s="2"/>
      <c r="L62" s="2"/>
      <c r="M62" s="2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0"/>
      <c r="G63" s="30"/>
      <c r="H63" s="30"/>
      <c r="I63" s="2"/>
      <c r="J63" s="2"/>
      <c r="K63" s="2"/>
      <c r="L63" s="2"/>
      <c r="M63" s="2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0"/>
      <c r="G64" s="30"/>
      <c r="H64" s="30"/>
      <c r="I64" s="2"/>
      <c r="J64" s="2"/>
      <c r="K64" s="2"/>
      <c r="L64" s="2"/>
      <c r="M64" s="2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0"/>
      <c r="G65" s="30"/>
      <c r="H65" s="30"/>
      <c r="I65" s="2"/>
      <c r="J65" s="2"/>
      <c r="K65" s="2"/>
      <c r="L65" s="2"/>
      <c r="M65" s="2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0"/>
      <c r="G66" s="30"/>
      <c r="H66" s="30"/>
      <c r="I66" s="2"/>
      <c r="J66" s="2"/>
      <c r="K66" s="2"/>
      <c r="L66" s="2"/>
      <c r="M66" s="2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0"/>
      <c r="G67" s="30"/>
      <c r="H67" s="30"/>
      <c r="I67" s="2"/>
      <c r="J67" s="2"/>
      <c r="K67" s="2"/>
      <c r="L67" s="2"/>
      <c r="M67" s="2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0"/>
      <c r="G68" s="30"/>
      <c r="H68" s="30"/>
      <c r="I68" s="2"/>
      <c r="J68" s="2"/>
      <c r="K68" s="2"/>
      <c r="L68" s="2"/>
      <c r="M68" s="2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0"/>
      <c r="G69" s="30"/>
      <c r="H69" s="30"/>
      <c r="I69" s="2"/>
      <c r="J69" s="2"/>
      <c r="K69" s="2"/>
      <c r="L69" s="2"/>
      <c r="M69" s="2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0"/>
      <c r="G70" s="30"/>
      <c r="H70" s="30"/>
      <c r="I70" s="2"/>
      <c r="J70" s="2"/>
      <c r="K70" s="2"/>
      <c r="L70" s="2"/>
      <c r="M70" s="2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0"/>
      <c r="G71" s="30"/>
      <c r="H71" s="30"/>
      <c r="I71" s="2"/>
      <c r="J71" s="2"/>
      <c r="K71" s="2"/>
      <c r="L71" s="2"/>
      <c r="M71" s="2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0"/>
      <c r="G72" s="30"/>
      <c r="H72" s="30"/>
      <c r="I72" s="2"/>
      <c r="J72" s="2"/>
      <c r="K72" s="2"/>
      <c r="L72" s="2"/>
      <c r="M72" s="2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0"/>
      <c r="G73" s="30"/>
      <c r="H73" s="30"/>
      <c r="I73" s="2"/>
      <c r="J73" s="2"/>
      <c r="K73" s="2"/>
      <c r="L73" s="2"/>
      <c r="M73" s="2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0"/>
      <c r="G74" s="30"/>
      <c r="H74" s="30"/>
      <c r="I74" s="2"/>
      <c r="J74" s="2"/>
      <c r="K74" s="2"/>
      <c r="L74" s="2"/>
      <c r="M74" s="2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0"/>
      <c r="G75" s="30"/>
      <c r="H75" s="30"/>
      <c r="I75" s="2"/>
      <c r="J75" s="2"/>
      <c r="K75" s="2"/>
      <c r="L75" s="2"/>
      <c r="M75" s="2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0"/>
      <c r="G76" s="30"/>
      <c r="H76" s="30"/>
      <c r="I76" s="2"/>
      <c r="J76" s="2"/>
      <c r="K76" s="2"/>
      <c r="L76" s="2"/>
      <c r="M76" s="2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0"/>
      <c r="G77" s="30"/>
      <c r="H77" s="30"/>
      <c r="I77" s="2"/>
      <c r="J77" s="2"/>
      <c r="K77" s="2"/>
      <c r="L77" s="2"/>
      <c r="M77" s="2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0"/>
      <c r="G78" s="30"/>
      <c r="H78" s="30"/>
      <c r="I78" s="2"/>
      <c r="J78" s="2"/>
      <c r="K78" s="2"/>
      <c r="L78" s="2"/>
      <c r="M78" s="2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0"/>
      <c r="G79" s="30"/>
      <c r="H79" s="30"/>
      <c r="I79" s="2"/>
      <c r="J79" s="2"/>
      <c r="K79" s="2"/>
      <c r="L79" s="2"/>
      <c r="M79" s="2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0"/>
      <c r="G80" s="30"/>
      <c r="H80" s="30"/>
      <c r="I80" s="2"/>
      <c r="J80" s="2"/>
      <c r="K80" s="2"/>
      <c r="L80" s="2"/>
      <c r="M80" s="2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0"/>
      <c r="G81" s="30"/>
      <c r="H81" s="30"/>
      <c r="I81" s="2"/>
      <c r="J81" s="2"/>
      <c r="K81" s="2"/>
      <c r="L81" s="2"/>
      <c r="M81" s="2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0"/>
      <c r="G82" s="30"/>
      <c r="H82" s="30"/>
      <c r="I82" s="2"/>
      <c r="J82" s="2"/>
      <c r="K82" s="2"/>
      <c r="L82" s="2"/>
      <c r="M82" s="2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0"/>
      <c r="G83" s="30"/>
      <c r="H83" s="30"/>
      <c r="I83" s="2"/>
      <c r="J83" s="2"/>
      <c r="K83" s="2"/>
      <c r="L83" s="2"/>
      <c r="M83" s="2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0"/>
      <c r="G84" s="30"/>
      <c r="H84" s="30"/>
      <c r="I84" s="2"/>
      <c r="J84" s="2"/>
      <c r="K84" s="2"/>
      <c r="L84" s="2"/>
      <c r="M84" s="2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0"/>
      <c r="G85" s="30"/>
      <c r="H85" s="30"/>
      <c r="I85" s="2"/>
      <c r="J85" s="2"/>
      <c r="K85" s="2"/>
      <c r="L85" s="2"/>
      <c r="M85" s="2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0"/>
      <c r="G86" s="30"/>
      <c r="H86" s="30"/>
      <c r="I86" s="2"/>
      <c r="J86" s="2"/>
      <c r="K86" s="2"/>
      <c r="L86" s="2"/>
      <c r="M86" s="2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0"/>
      <c r="G87" s="30"/>
      <c r="H87" s="30"/>
      <c r="I87" s="2"/>
      <c r="J87" s="2"/>
      <c r="K87" s="2"/>
      <c r="L87" s="2"/>
      <c r="M87" s="2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0"/>
      <c r="G88" s="30"/>
      <c r="H88" s="30"/>
      <c r="I88" s="2"/>
      <c r="J88" s="2"/>
      <c r="K88" s="2"/>
      <c r="L88" s="2"/>
      <c r="M88" s="2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0"/>
      <c r="G89" s="30"/>
      <c r="H89" s="30"/>
      <c r="I89" s="2"/>
      <c r="J89" s="2"/>
      <c r="K89" s="2"/>
      <c r="L89" s="2"/>
      <c r="M89" s="2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0"/>
      <c r="G90" s="30"/>
      <c r="H90" s="30"/>
      <c r="I90" s="2"/>
      <c r="J90" s="2"/>
      <c r="K90" s="2"/>
      <c r="L90" s="2"/>
      <c r="M90" s="2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0"/>
      <c r="G91" s="30"/>
      <c r="H91" s="30"/>
      <c r="I91" s="2"/>
      <c r="J91" s="2"/>
      <c r="K91" s="2"/>
      <c r="L91" s="2"/>
      <c r="M91" s="2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0"/>
      <c r="G92" s="30"/>
      <c r="H92" s="30"/>
      <c r="I92" s="2"/>
      <c r="J92" s="2"/>
      <c r="K92" s="2"/>
      <c r="L92" s="2"/>
      <c r="M92" s="2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0"/>
      <c r="G93" s="30"/>
      <c r="H93" s="30"/>
      <c r="I93" s="2"/>
      <c r="J93" s="2"/>
      <c r="K93" s="2"/>
      <c r="L93" s="2"/>
      <c r="M93" s="2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0"/>
      <c r="G94" s="30"/>
      <c r="H94" s="30"/>
      <c r="I94" s="2"/>
      <c r="J94" s="2"/>
      <c r="K94" s="2"/>
      <c r="L94" s="2"/>
      <c r="M94" s="2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0"/>
      <c r="G95" s="30"/>
      <c r="H95" s="30"/>
      <c r="I95" s="2"/>
      <c r="J95" s="2"/>
      <c r="K95" s="2"/>
      <c r="L95" s="2"/>
      <c r="M95" s="2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0"/>
      <c r="G96" s="30"/>
      <c r="H96" s="30"/>
      <c r="I96" s="2"/>
      <c r="J96" s="2"/>
      <c r="K96" s="2"/>
      <c r="L96" s="2"/>
      <c r="M96" s="2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0"/>
      <c r="G97" s="30"/>
      <c r="H97" s="30"/>
      <c r="I97" s="2"/>
      <c r="J97" s="2"/>
      <c r="K97" s="2"/>
      <c r="L97" s="2"/>
      <c r="M97" s="2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0"/>
      <c r="G98" s="30"/>
      <c r="H98" s="30"/>
      <c r="I98" s="2"/>
      <c r="J98" s="2"/>
      <c r="K98" s="2"/>
      <c r="L98" s="2"/>
      <c r="M98" s="2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0"/>
      <c r="G99" s="30"/>
      <c r="H99" s="30"/>
      <c r="I99" s="2"/>
      <c r="J99" s="2"/>
      <c r="K99" s="2"/>
      <c r="L99" s="2"/>
      <c r="M99" s="2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0"/>
      <c r="G100" s="30"/>
      <c r="H100" s="30"/>
      <c r="I100" s="2"/>
      <c r="J100" s="2"/>
      <c r="K100" s="2"/>
      <c r="L100" s="2"/>
      <c r="M100" s="2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0"/>
      <c r="G101" s="30"/>
      <c r="H101" s="30"/>
      <c r="I101" s="2"/>
      <c r="J101" s="2"/>
      <c r="K101" s="2"/>
      <c r="L101" s="2"/>
      <c r="M101" s="2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0"/>
      <c r="G102" s="30"/>
      <c r="H102" s="30"/>
      <c r="I102" s="2"/>
      <c r="J102" s="2"/>
      <c r="K102" s="2"/>
      <c r="L102" s="2"/>
      <c r="M102" s="2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0"/>
      <c r="G103" s="30"/>
      <c r="H103" s="30"/>
      <c r="I103" s="2"/>
      <c r="J103" s="2"/>
      <c r="K103" s="2"/>
      <c r="L103" s="2"/>
      <c r="M103" s="2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0"/>
      <c r="G104" s="30"/>
      <c r="H104" s="30"/>
      <c r="I104" s="2"/>
      <c r="J104" s="2"/>
      <c r="K104" s="2"/>
      <c r="L104" s="2"/>
      <c r="M104" s="2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0"/>
      <c r="G105" s="30"/>
      <c r="H105" s="30"/>
      <c r="I105" s="2"/>
      <c r="J105" s="2"/>
      <c r="K105" s="2"/>
      <c r="L105" s="2"/>
      <c r="M105" s="2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0"/>
      <c r="G106" s="30"/>
      <c r="H106" s="30"/>
      <c r="I106" s="2"/>
      <c r="J106" s="2"/>
      <c r="K106" s="2"/>
      <c r="L106" s="2"/>
      <c r="M106" s="2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0"/>
      <c r="G107" s="30"/>
      <c r="H107" s="30"/>
      <c r="I107" s="2"/>
      <c r="J107" s="2"/>
      <c r="K107" s="2"/>
      <c r="L107" s="2"/>
      <c r="M107" s="2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0"/>
      <c r="G108" s="30"/>
      <c r="H108" s="30"/>
      <c r="I108" s="2"/>
      <c r="J108" s="2"/>
      <c r="K108" s="2"/>
      <c r="L108" s="2"/>
      <c r="M108" s="2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0"/>
      <c r="G109" s="30"/>
      <c r="H109" s="30"/>
      <c r="I109" s="2"/>
      <c r="J109" s="2"/>
      <c r="K109" s="2"/>
      <c r="L109" s="2"/>
      <c r="M109" s="2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0"/>
      <c r="G110" s="30"/>
      <c r="H110" s="30"/>
      <c r="I110" s="2"/>
      <c r="J110" s="2"/>
      <c r="K110" s="2"/>
      <c r="L110" s="2"/>
      <c r="M110" s="2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0"/>
      <c r="G111" s="30"/>
      <c r="H111" s="30"/>
      <c r="I111" s="2"/>
      <c r="J111" s="2"/>
      <c r="K111" s="2"/>
      <c r="L111" s="2"/>
      <c r="M111" s="2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0"/>
      <c r="G112" s="30"/>
      <c r="H112" s="30"/>
      <c r="I112" s="2"/>
      <c r="J112" s="2"/>
      <c r="K112" s="2"/>
      <c r="L112" s="2"/>
      <c r="M112" s="2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0"/>
      <c r="G113" s="30"/>
      <c r="H113" s="30"/>
      <c r="I113" s="2"/>
      <c r="J113" s="2"/>
      <c r="K113" s="2"/>
      <c r="L113" s="2"/>
      <c r="M113" s="2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0"/>
      <c r="G114" s="30"/>
      <c r="H114" s="30"/>
      <c r="I114" s="2"/>
      <c r="J114" s="2"/>
      <c r="K114" s="2"/>
      <c r="L114" s="2"/>
      <c r="M114" s="2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0"/>
      <c r="G115" s="30"/>
      <c r="H115" s="30"/>
      <c r="I115" s="2"/>
      <c r="J115" s="2"/>
      <c r="K115" s="2"/>
      <c r="L115" s="2"/>
      <c r="M115" s="2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0"/>
      <c r="G116" s="30"/>
      <c r="H116" s="30"/>
      <c r="I116" s="2"/>
      <c r="J116" s="2"/>
      <c r="K116" s="2"/>
      <c r="L116" s="2"/>
      <c r="M116" s="2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0"/>
      <c r="G117" s="30"/>
      <c r="H117" s="30"/>
      <c r="I117" s="2"/>
      <c r="J117" s="2"/>
      <c r="K117" s="2"/>
      <c r="L117" s="2"/>
      <c r="M117" s="2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0"/>
      <c r="G118" s="30"/>
      <c r="H118" s="30"/>
      <c r="I118" s="2"/>
      <c r="J118" s="2"/>
      <c r="K118" s="2"/>
      <c r="L118" s="2"/>
      <c r="M118" s="2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0"/>
      <c r="G119" s="30"/>
      <c r="H119" s="30"/>
      <c r="I119" s="2"/>
      <c r="J119" s="2"/>
      <c r="K119" s="2"/>
      <c r="L119" s="2"/>
      <c r="M119" s="2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0"/>
      <c r="G120" s="30"/>
      <c r="H120" s="30"/>
      <c r="I120" s="2"/>
      <c r="J120" s="2"/>
      <c r="K120" s="2"/>
      <c r="L120" s="2"/>
      <c r="M120" s="2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0"/>
      <c r="G121" s="30"/>
      <c r="H121" s="30"/>
      <c r="I121" s="2"/>
      <c r="J121" s="2"/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H121">
    <cfRule type="expression" dxfId="11" priority="1">
      <formula>MOD(ROW(),2)=0</formula>
    </cfRule>
  </conditionalFormatting>
  <hyperlinks>
    <hyperlink ref="X1" location="'Cover'!A1" display="Cover" xr:uid="{00000000-0004-0000-0F00-000000000000}"/>
    <hyperlink ref="Y1" location="'Index'!A1" display="Index" xr:uid="{00000000-0004-0000-0F00-000001000000}"/>
    <hyperlink ref="Z1" location="'Executive Dashboard'!A1" display="Dashboard" xr:uid="{00000000-0004-0000-0F00-000002000000}"/>
    <hyperlink ref="AA1" location="'Live KPI Overview'!A1" display="Analytics" xr:uid="{00000000-0004-0000-0F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50"/>
  <sheetViews>
    <sheetView showGridLines="0" workbookViewId="0">
      <pane ySplit="1" topLeftCell="A2" activePane="bottomLeft" state="frozen"/>
      <selection pane="bottomLeft" sqref="A1:H121"/>
    </sheetView>
  </sheetViews>
  <sheetFormatPr defaultRowHeight="13.8"/>
  <cols>
    <col min="1" max="1" width="17" customWidth="1"/>
    <col min="2" max="2" width="20.19921875" customWidth="1"/>
    <col min="3" max="8" width="17" customWidth="1"/>
    <col min="9" max="21" width="19" customWidth="1"/>
    <col min="24" max="27" width="13" customWidth="1"/>
  </cols>
  <sheetData>
    <row r="1" spans="1:27" ht="34.950000000000003" customHeight="1">
      <c r="A1" s="29" t="s">
        <v>218</v>
      </c>
      <c r="B1" s="29" t="s">
        <v>219</v>
      </c>
      <c r="C1" s="29" t="s">
        <v>99</v>
      </c>
      <c r="D1" s="29" t="s">
        <v>220</v>
      </c>
      <c r="E1" s="29" t="s">
        <v>221</v>
      </c>
      <c r="F1" s="29" t="s">
        <v>222</v>
      </c>
      <c r="G1" s="29" t="s">
        <v>223</v>
      </c>
      <c r="H1" s="29" t="s">
        <v>149</v>
      </c>
      <c r="I1" s="4"/>
      <c r="J1" s="4"/>
      <c r="K1" s="4"/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/>
      <c r="B2" s="30"/>
      <c r="C2" s="30"/>
      <c r="D2" s="30"/>
      <c r="E2" s="30"/>
      <c r="F2" s="30"/>
      <c r="G2" s="30"/>
      <c r="H2" s="30"/>
      <c r="I2" s="7"/>
      <c r="J2" s="7"/>
      <c r="K2" s="7"/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/>
      <c r="B3" s="30"/>
      <c r="C3" s="30"/>
      <c r="D3" s="30"/>
      <c r="E3" s="30"/>
      <c r="F3" s="30"/>
      <c r="G3" s="30"/>
      <c r="H3" s="30"/>
      <c r="I3" s="2"/>
      <c r="J3" s="2"/>
      <c r="K3" s="2"/>
      <c r="L3" s="2"/>
      <c r="M3" s="2"/>
      <c r="N3" s="2"/>
      <c r="O3" s="2"/>
      <c r="P3" s="2"/>
    </row>
    <row r="4" spans="1:27" ht="22.95" customHeight="1">
      <c r="A4" s="30"/>
      <c r="B4" s="30"/>
      <c r="C4" s="30"/>
      <c r="D4" s="30"/>
      <c r="E4" s="30"/>
      <c r="F4" s="30"/>
      <c r="G4" s="30"/>
      <c r="H4" s="30"/>
      <c r="I4" s="2"/>
      <c r="J4" s="2"/>
      <c r="K4" s="2"/>
      <c r="L4" s="2"/>
      <c r="M4" s="2"/>
      <c r="N4" s="2"/>
      <c r="O4" s="2"/>
      <c r="P4" s="2"/>
    </row>
    <row r="5" spans="1:27" ht="22.95" customHeight="1">
      <c r="A5" s="30"/>
      <c r="B5" s="30"/>
      <c r="C5" s="30"/>
      <c r="D5" s="30"/>
      <c r="E5" s="30"/>
      <c r="F5" s="30"/>
      <c r="G5" s="30"/>
      <c r="H5" s="30"/>
      <c r="I5" s="2"/>
      <c r="J5" s="2"/>
      <c r="K5" s="2"/>
      <c r="L5" s="2"/>
      <c r="M5" s="2"/>
      <c r="N5" s="2"/>
      <c r="O5" s="2"/>
      <c r="P5" s="2"/>
    </row>
    <row r="6" spans="1:27" ht="22.95" customHeight="1">
      <c r="A6" s="30"/>
      <c r="B6" s="30"/>
      <c r="C6" s="30"/>
      <c r="D6" s="30"/>
      <c r="E6" s="30"/>
      <c r="F6" s="30"/>
      <c r="G6" s="30"/>
      <c r="H6" s="30"/>
      <c r="I6" s="2"/>
      <c r="J6" s="2"/>
      <c r="K6" s="2"/>
      <c r="L6" s="2"/>
      <c r="M6" s="2"/>
      <c r="N6" s="2"/>
      <c r="O6" s="2"/>
      <c r="P6" s="2"/>
    </row>
    <row r="7" spans="1:27" ht="22.95" customHeight="1">
      <c r="A7" s="30"/>
      <c r="B7" s="30"/>
      <c r="C7" s="30"/>
      <c r="D7" s="30"/>
      <c r="E7" s="30"/>
      <c r="F7" s="30"/>
      <c r="G7" s="30"/>
      <c r="H7" s="30"/>
      <c r="I7" s="2"/>
      <c r="J7" s="2"/>
      <c r="K7" s="2"/>
      <c r="L7" s="2"/>
      <c r="M7" s="2"/>
      <c r="N7" s="2"/>
      <c r="O7" s="2"/>
      <c r="P7" s="2"/>
    </row>
    <row r="8" spans="1:27" ht="22.95" customHeight="1">
      <c r="A8" s="30"/>
      <c r="B8" s="30"/>
      <c r="C8" s="30"/>
      <c r="D8" s="30"/>
      <c r="E8" s="30"/>
      <c r="F8" s="30"/>
      <c r="G8" s="30"/>
      <c r="H8" s="30"/>
      <c r="I8" s="2"/>
      <c r="J8" s="2"/>
      <c r="K8" s="2"/>
      <c r="L8" s="2"/>
      <c r="M8" s="2"/>
      <c r="N8" s="2"/>
      <c r="O8" s="2"/>
      <c r="P8" s="2"/>
    </row>
    <row r="9" spans="1:27" ht="22.95" customHeight="1">
      <c r="A9" s="30"/>
      <c r="B9" s="30"/>
      <c r="C9" s="30"/>
      <c r="D9" s="30"/>
      <c r="E9" s="30"/>
      <c r="F9" s="30"/>
      <c r="G9" s="30"/>
      <c r="H9" s="30"/>
      <c r="I9" s="2"/>
      <c r="J9" s="2"/>
      <c r="K9" s="2"/>
      <c r="L9" s="2"/>
      <c r="M9" s="2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0"/>
      <c r="G10" s="30"/>
      <c r="H10" s="30"/>
      <c r="I10" s="2"/>
      <c r="J10" s="2"/>
      <c r="K10" s="2"/>
      <c r="L10" s="2"/>
      <c r="M10" s="2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0"/>
      <c r="G11" s="30"/>
      <c r="H11" s="30"/>
      <c r="I11" s="2"/>
      <c r="J11" s="2"/>
      <c r="K11" s="2"/>
      <c r="L11" s="2"/>
      <c r="M11" s="2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0"/>
      <c r="G12" s="30"/>
      <c r="H12" s="30"/>
      <c r="I12" s="2"/>
      <c r="J12" s="2"/>
      <c r="K12" s="2"/>
      <c r="L12" s="2"/>
      <c r="M12" s="2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0"/>
      <c r="G13" s="30"/>
      <c r="H13" s="30"/>
      <c r="I13" s="2"/>
      <c r="J13" s="2"/>
      <c r="K13" s="2"/>
      <c r="L13" s="2"/>
      <c r="M13" s="2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0"/>
      <c r="G14" s="30"/>
      <c r="H14" s="30"/>
      <c r="I14" s="2"/>
      <c r="J14" s="2"/>
      <c r="K14" s="2"/>
      <c r="L14" s="2"/>
      <c r="M14" s="2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0"/>
      <c r="G15" s="30"/>
      <c r="H15" s="30"/>
      <c r="I15" s="2"/>
      <c r="J15" s="2"/>
      <c r="K15" s="2"/>
      <c r="L15" s="2"/>
      <c r="M15" s="2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0"/>
      <c r="G16" s="30"/>
      <c r="H16" s="30"/>
      <c r="I16" s="2"/>
      <c r="J16" s="2"/>
      <c r="K16" s="2"/>
      <c r="L16" s="2"/>
      <c r="M16" s="2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0"/>
      <c r="G17" s="30"/>
      <c r="H17" s="30"/>
      <c r="I17" s="2"/>
      <c r="J17" s="2"/>
      <c r="K17" s="2"/>
      <c r="L17" s="2"/>
      <c r="M17" s="2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0"/>
      <c r="G18" s="30"/>
      <c r="H18" s="30"/>
      <c r="I18" s="2"/>
      <c r="J18" s="2"/>
      <c r="K18" s="2"/>
      <c r="L18" s="2"/>
      <c r="M18" s="2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0"/>
      <c r="G19" s="30"/>
      <c r="H19" s="30"/>
      <c r="I19" s="2"/>
      <c r="J19" s="2"/>
      <c r="K19" s="2"/>
      <c r="L19" s="2"/>
      <c r="M19" s="2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0"/>
      <c r="G20" s="30"/>
      <c r="H20" s="30"/>
      <c r="I20" s="2"/>
      <c r="J20" s="2"/>
      <c r="K20" s="2"/>
      <c r="L20" s="2"/>
      <c r="M20" s="2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0"/>
      <c r="G21" s="30"/>
      <c r="H21" s="30"/>
      <c r="I21" s="2"/>
      <c r="J21" s="2"/>
      <c r="K21" s="2"/>
      <c r="L21" s="2"/>
      <c r="M21" s="2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0"/>
      <c r="G22" s="30"/>
      <c r="H22" s="30"/>
      <c r="I22" s="2"/>
      <c r="J22" s="2"/>
      <c r="K22" s="2"/>
      <c r="L22" s="2"/>
      <c r="M22" s="2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0"/>
      <c r="G23" s="30"/>
      <c r="H23" s="30"/>
      <c r="I23" s="2"/>
      <c r="J23" s="2"/>
      <c r="K23" s="2"/>
      <c r="L23" s="2"/>
      <c r="M23" s="2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0"/>
      <c r="G24" s="30"/>
      <c r="H24" s="30"/>
      <c r="I24" s="2"/>
      <c r="J24" s="2"/>
      <c r="K24" s="2"/>
      <c r="L24" s="2"/>
      <c r="M24" s="2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0"/>
      <c r="G25" s="30"/>
      <c r="H25" s="30"/>
      <c r="I25" s="2"/>
      <c r="J25" s="2"/>
      <c r="K25" s="2"/>
      <c r="L25" s="2"/>
      <c r="M25" s="2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0"/>
      <c r="G26" s="30"/>
      <c r="H26" s="30"/>
      <c r="I26" s="2"/>
      <c r="J26" s="2"/>
      <c r="K26" s="2"/>
      <c r="L26" s="2"/>
      <c r="M26" s="2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0"/>
      <c r="G27" s="30"/>
      <c r="H27" s="30"/>
      <c r="I27" s="2"/>
      <c r="J27" s="2"/>
      <c r="K27" s="2"/>
      <c r="L27" s="2"/>
      <c r="M27" s="2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0"/>
      <c r="G28" s="30"/>
      <c r="H28" s="30"/>
      <c r="I28" s="2"/>
      <c r="J28" s="2"/>
      <c r="K28" s="2"/>
      <c r="L28" s="2"/>
      <c r="M28" s="2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0"/>
      <c r="G29" s="30"/>
      <c r="H29" s="30"/>
      <c r="I29" s="2"/>
      <c r="J29" s="2"/>
      <c r="K29" s="2"/>
      <c r="L29" s="2"/>
      <c r="M29" s="2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0"/>
      <c r="G30" s="30"/>
      <c r="H30" s="30"/>
      <c r="I30" s="2"/>
      <c r="J30" s="2"/>
      <c r="K30" s="2"/>
      <c r="L30" s="2"/>
      <c r="M30" s="2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0"/>
      <c r="G31" s="30"/>
      <c r="H31" s="30"/>
      <c r="I31" s="2"/>
      <c r="J31" s="2"/>
      <c r="K31" s="2"/>
      <c r="L31" s="2"/>
      <c r="M31" s="2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0"/>
      <c r="G32" s="30"/>
      <c r="H32" s="30"/>
      <c r="I32" s="2"/>
      <c r="J32" s="2"/>
      <c r="K32" s="2"/>
      <c r="L32" s="2"/>
      <c r="M32" s="2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0"/>
      <c r="G33" s="30"/>
      <c r="H33" s="30"/>
      <c r="I33" s="2"/>
      <c r="J33" s="2"/>
      <c r="K33" s="2"/>
      <c r="L33" s="2"/>
      <c r="M33" s="2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0"/>
      <c r="G34" s="30"/>
      <c r="H34" s="30"/>
      <c r="I34" s="2"/>
      <c r="J34" s="2"/>
      <c r="K34" s="2"/>
      <c r="L34" s="2"/>
      <c r="M34" s="2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0"/>
      <c r="G35" s="30"/>
      <c r="H35" s="30"/>
      <c r="I35" s="2"/>
      <c r="J35" s="2"/>
      <c r="K35" s="2"/>
      <c r="L35" s="2"/>
      <c r="M35" s="2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0"/>
      <c r="G36" s="30"/>
      <c r="H36" s="30"/>
      <c r="I36" s="2"/>
      <c r="J36" s="2"/>
      <c r="K36" s="2"/>
      <c r="L36" s="2"/>
      <c r="M36" s="2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0"/>
      <c r="G37" s="30"/>
      <c r="H37" s="30"/>
      <c r="I37" s="2"/>
      <c r="J37" s="2"/>
      <c r="K37" s="2"/>
      <c r="L37" s="2"/>
      <c r="M37" s="2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0"/>
      <c r="G38" s="30"/>
      <c r="H38" s="30"/>
      <c r="I38" s="2"/>
      <c r="J38" s="2"/>
      <c r="K38" s="2"/>
      <c r="L38" s="2"/>
      <c r="M38" s="2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0"/>
      <c r="G39" s="30"/>
      <c r="H39" s="30"/>
      <c r="I39" s="2"/>
      <c r="J39" s="2"/>
      <c r="K39" s="2"/>
      <c r="L39" s="2"/>
      <c r="M39" s="2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0"/>
      <c r="G40" s="30"/>
      <c r="H40" s="30"/>
      <c r="I40" s="2"/>
      <c r="J40" s="2"/>
      <c r="K40" s="2"/>
      <c r="L40" s="2"/>
      <c r="M40" s="2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0"/>
      <c r="G41" s="30"/>
      <c r="H41" s="30"/>
      <c r="I41" s="2"/>
      <c r="J41" s="2"/>
      <c r="K41" s="2"/>
      <c r="L41" s="2"/>
      <c r="M41" s="2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0"/>
      <c r="G42" s="30"/>
      <c r="H42" s="30"/>
      <c r="I42" s="2"/>
      <c r="J42" s="2"/>
      <c r="K42" s="2"/>
      <c r="L42" s="2"/>
      <c r="M42" s="2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0"/>
      <c r="G43" s="30"/>
      <c r="H43" s="30"/>
      <c r="I43" s="2"/>
      <c r="J43" s="2"/>
      <c r="K43" s="2"/>
      <c r="L43" s="2"/>
      <c r="M43" s="2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0"/>
      <c r="G44" s="30"/>
      <c r="H44" s="30"/>
      <c r="I44" s="2"/>
      <c r="J44" s="2"/>
      <c r="K44" s="2"/>
      <c r="L44" s="2"/>
      <c r="M44" s="2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0"/>
      <c r="G45" s="30"/>
      <c r="H45" s="30"/>
      <c r="I45" s="2"/>
      <c r="J45" s="2"/>
      <c r="K45" s="2"/>
      <c r="L45" s="2"/>
      <c r="M45" s="2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0"/>
      <c r="G46" s="30"/>
      <c r="H46" s="30"/>
      <c r="I46" s="2"/>
      <c r="J46" s="2"/>
      <c r="K46" s="2"/>
      <c r="L46" s="2"/>
      <c r="M46" s="2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0"/>
      <c r="G47" s="30"/>
      <c r="H47" s="30"/>
      <c r="I47" s="2"/>
      <c r="J47" s="2"/>
      <c r="K47" s="2"/>
      <c r="L47" s="2"/>
      <c r="M47" s="2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0"/>
      <c r="G48" s="30"/>
      <c r="H48" s="30"/>
      <c r="I48" s="2"/>
      <c r="J48" s="2"/>
      <c r="K48" s="2"/>
      <c r="L48" s="2"/>
      <c r="M48" s="2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0"/>
      <c r="G49" s="30"/>
      <c r="H49" s="30"/>
      <c r="I49" s="2"/>
      <c r="J49" s="2"/>
      <c r="K49" s="2"/>
      <c r="L49" s="2"/>
      <c r="M49" s="2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0"/>
      <c r="G50" s="30"/>
      <c r="H50" s="30"/>
      <c r="I50" s="2"/>
      <c r="J50" s="2"/>
      <c r="K50" s="2"/>
      <c r="L50" s="2"/>
      <c r="M50" s="2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0"/>
      <c r="G51" s="30"/>
      <c r="H51" s="30"/>
      <c r="I51" s="2"/>
      <c r="J51" s="2"/>
      <c r="K51" s="2"/>
      <c r="L51" s="2"/>
      <c r="M51" s="2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0"/>
      <c r="G52" s="30"/>
      <c r="H52" s="30"/>
      <c r="I52" s="2"/>
      <c r="J52" s="2"/>
      <c r="K52" s="2"/>
      <c r="L52" s="2"/>
      <c r="M52" s="2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0"/>
      <c r="G53" s="30"/>
      <c r="H53" s="30"/>
      <c r="I53" s="2"/>
      <c r="J53" s="2"/>
      <c r="K53" s="2"/>
      <c r="L53" s="2"/>
      <c r="M53" s="2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0"/>
      <c r="G54" s="30"/>
      <c r="H54" s="30"/>
      <c r="I54" s="2"/>
      <c r="J54" s="2"/>
      <c r="K54" s="2"/>
      <c r="L54" s="2"/>
      <c r="M54" s="2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0"/>
      <c r="G55" s="30"/>
      <c r="H55" s="30"/>
      <c r="I55" s="2"/>
      <c r="J55" s="2"/>
      <c r="K55" s="2"/>
      <c r="L55" s="2"/>
      <c r="M55" s="2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0"/>
      <c r="G56" s="30"/>
      <c r="H56" s="30"/>
      <c r="I56" s="2"/>
      <c r="J56" s="2"/>
      <c r="K56" s="2"/>
      <c r="L56" s="2"/>
      <c r="M56" s="2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0"/>
      <c r="G57" s="30"/>
      <c r="H57" s="30"/>
      <c r="I57" s="2"/>
      <c r="J57" s="2"/>
      <c r="K57" s="2"/>
      <c r="L57" s="2"/>
      <c r="M57" s="2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0"/>
      <c r="G58" s="30"/>
      <c r="H58" s="30"/>
      <c r="I58" s="2"/>
      <c r="J58" s="2"/>
      <c r="K58" s="2"/>
      <c r="L58" s="2"/>
      <c r="M58" s="2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0"/>
      <c r="G59" s="30"/>
      <c r="H59" s="30"/>
      <c r="I59" s="2"/>
      <c r="J59" s="2"/>
      <c r="K59" s="2"/>
      <c r="L59" s="2"/>
      <c r="M59" s="2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0"/>
      <c r="G60" s="30"/>
      <c r="H60" s="30"/>
      <c r="I60" s="2"/>
      <c r="J60" s="2"/>
      <c r="K60" s="2"/>
      <c r="L60" s="2"/>
      <c r="M60" s="2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0"/>
      <c r="G61" s="30"/>
      <c r="H61" s="30"/>
      <c r="I61" s="2"/>
      <c r="J61" s="2"/>
      <c r="K61" s="2"/>
      <c r="L61" s="2"/>
      <c r="M61" s="2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0"/>
      <c r="G62" s="30"/>
      <c r="H62" s="30"/>
      <c r="I62" s="2"/>
      <c r="J62" s="2"/>
      <c r="K62" s="2"/>
      <c r="L62" s="2"/>
      <c r="M62" s="2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0"/>
      <c r="G63" s="30"/>
      <c r="H63" s="30"/>
      <c r="I63" s="2"/>
      <c r="J63" s="2"/>
      <c r="K63" s="2"/>
      <c r="L63" s="2"/>
      <c r="M63" s="2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0"/>
      <c r="G64" s="30"/>
      <c r="H64" s="30"/>
      <c r="I64" s="2"/>
      <c r="J64" s="2"/>
      <c r="K64" s="2"/>
      <c r="L64" s="2"/>
      <c r="M64" s="2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0"/>
      <c r="G65" s="30"/>
      <c r="H65" s="30"/>
      <c r="I65" s="2"/>
      <c r="J65" s="2"/>
      <c r="K65" s="2"/>
      <c r="L65" s="2"/>
      <c r="M65" s="2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0"/>
      <c r="G66" s="30"/>
      <c r="H66" s="30"/>
      <c r="I66" s="2"/>
      <c r="J66" s="2"/>
      <c r="K66" s="2"/>
      <c r="L66" s="2"/>
      <c r="M66" s="2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0"/>
      <c r="G67" s="30"/>
      <c r="H67" s="30"/>
      <c r="I67" s="2"/>
      <c r="J67" s="2"/>
      <c r="K67" s="2"/>
      <c r="L67" s="2"/>
      <c r="M67" s="2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0"/>
      <c r="G68" s="30"/>
      <c r="H68" s="30"/>
      <c r="I68" s="2"/>
      <c r="J68" s="2"/>
      <c r="K68" s="2"/>
      <c r="L68" s="2"/>
      <c r="M68" s="2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0"/>
      <c r="G69" s="30"/>
      <c r="H69" s="30"/>
      <c r="I69" s="2"/>
      <c r="J69" s="2"/>
      <c r="K69" s="2"/>
      <c r="L69" s="2"/>
      <c r="M69" s="2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0"/>
      <c r="G70" s="30"/>
      <c r="H70" s="30"/>
      <c r="I70" s="2"/>
      <c r="J70" s="2"/>
      <c r="K70" s="2"/>
      <c r="L70" s="2"/>
      <c r="M70" s="2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0"/>
      <c r="G71" s="30"/>
      <c r="H71" s="30"/>
      <c r="I71" s="2"/>
      <c r="J71" s="2"/>
      <c r="K71" s="2"/>
      <c r="L71" s="2"/>
      <c r="M71" s="2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0"/>
      <c r="G72" s="30"/>
      <c r="H72" s="30"/>
      <c r="I72" s="2"/>
      <c r="J72" s="2"/>
      <c r="K72" s="2"/>
      <c r="L72" s="2"/>
      <c r="M72" s="2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0"/>
      <c r="G73" s="30"/>
      <c r="H73" s="30"/>
      <c r="I73" s="2"/>
      <c r="J73" s="2"/>
      <c r="K73" s="2"/>
      <c r="L73" s="2"/>
      <c r="M73" s="2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0"/>
      <c r="G74" s="30"/>
      <c r="H74" s="30"/>
      <c r="I74" s="2"/>
      <c r="J74" s="2"/>
      <c r="K74" s="2"/>
      <c r="L74" s="2"/>
      <c r="M74" s="2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0"/>
      <c r="G75" s="30"/>
      <c r="H75" s="30"/>
      <c r="I75" s="2"/>
      <c r="J75" s="2"/>
      <c r="K75" s="2"/>
      <c r="L75" s="2"/>
      <c r="M75" s="2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0"/>
      <c r="G76" s="30"/>
      <c r="H76" s="30"/>
      <c r="I76" s="2"/>
      <c r="J76" s="2"/>
      <c r="K76" s="2"/>
      <c r="L76" s="2"/>
      <c r="M76" s="2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0"/>
      <c r="G77" s="30"/>
      <c r="H77" s="30"/>
      <c r="I77" s="2"/>
      <c r="J77" s="2"/>
      <c r="K77" s="2"/>
      <c r="L77" s="2"/>
      <c r="M77" s="2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0"/>
      <c r="G78" s="30"/>
      <c r="H78" s="30"/>
      <c r="I78" s="2"/>
      <c r="J78" s="2"/>
      <c r="K78" s="2"/>
      <c r="L78" s="2"/>
      <c r="M78" s="2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0"/>
      <c r="G79" s="30"/>
      <c r="H79" s="30"/>
      <c r="I79" s="2"/>
      <c r="J79" s="2"/>
      <c r="K79" s="2"/>
      <c r="L79" s="2"/>
      <c r="M79" s="2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0"/>
      <c r="G80" s="30"/>
      <c r="H80" s="30"/>
      <c r="I80" s="2"/>
      <c r="J80" s="2"/>
      <c r="K80" s="2"/>
      <c r="L80" s="2"/>
      <c r="M80" s="2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0"/>
      <c r="G81" s="30"/>
      <c r="H81" s="30"/>
      <c r="I81" s="2"/>
      <c r="J81" s="2"/>
      <c r="K81" s="2"/>
      <c r="L81" s="2"/>
      <c r="M81" s="2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0"/>
      <c r="G82" s="30"/>
      <c r="H82" s="30"/>
      <c r="I82" s="2"/>
      <c r="J82" s="2"/>
      <c r="K82" s="2"/>
      <c r="L82" s="2"/>
      <c r="M82" s="2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0"/>
      <c r="G83" s="30"/>
      <c r="H83" s="30"/>
      <c r="I83" s="2"/>
      <c r="J83" s="2"/>
      <c r="K83" s="2"/>
      <c r="L83" s="2"/>
      <c r="M83" s="2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0"/>
      <c r="G84" s="30"/>
      <c r="H84" s="30"/>
      <c r="I84" s="2"/>
      <c r="J84" s="2"/>
      <c r="K84" s="2"/>
      <c r="L84" s="2"/>
      <c r="M84" s="2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0"/>
      <c r="G85" s="30"/>
      <c r="H85" s="30"/>
      <c r="I85" s="2"/>
      <c r="J85" s="2"/>
      <c r="K85" s="2"/>
      <c r="L85" s="2"/>
      <c r="M85" s="2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0"/>
      <c r="G86" s="30"/>
      <c r="H86" s="30"/>
      <c r="I86" s="2"/>
      <c r="J86" s="2"/>
      <c r="K86" s="2"/>
      <c r="L86" s="2"/>
      <c r="M86" s="2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0"/>
      <c r="G87" s="30"/>
      <c r="H87" s="30"/>
      <c r="I87" s="2"/>
      <c r="J87" s="2"/>
      <c r="K87" s="2"/>
      <c r="L87" s="2"/>
      <c r="M87" s="2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0"/>
      <c r="G88" s="30"/>
      <c r="H88" s="30"/>
      <c r="I88" s="2"/>
      <c r="J88" s="2"/>
      <c r="K88" s="2"/>
      <c r="L88" s="2"/>
      <c r="M88" s="2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0"/>
      <c r="G89" s="30"/>
      <c r="H89" s="30"/>
      <c r="I89" s="2"/>
      <c r="J89" s="2"/>
      <c r="K89" s="2"/>
      <c r="L89" s="2"/>
      <c r="M89" s="2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0"/>
      <c r="G90" s="30"/>
      <c r="H90" s="30"/>
      <c r="I90" s="2"/>
      <c r="J90" s="2"/>
      <c r="K90" s="2"/>
      <c r="L90" s="2"/>
      <c r="M90" s="2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0"/>
      <c r="G91" s="30"/>
      <c r="H91" s="30"/>
      <c r="I91" s="2"/>
      <c r="J91" s="2"/>
      <c r="K91" s="2"/>
      <c r="L91" s="2"/>
      <c r="M91" s="2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0"/>
      <c r="G92" s="30"/>
      <c r="H92" s="30"/>
      <c r="I92" s="2"/>
      <c r="J92" s="2"/>
      <c r="K92" s="2"/>
      <c r="L92" s="2"/>
      <c r="M92" s="2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0"/>
      <c r="G93" s="30"/>
      <c r="H93" s="30"/>
      <c r="I93" s="2"/>
      <c r="J93" s="2"/>
      <c r="K93" s="2"/>
      <c r="L93" s="2"/>
      <c r="M93" s="2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0"/>
      <c r="G94" s="30"/>
      <c r="H94" s="30"/>
      <c r="I94" s="2"/>
      <c r="J94" s="2"/>
      <c r="K94" s="2"/>
      <c r="L94" s="2"/>
      <c r="M94" s="2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0"/>
      <c r="G95" s="30"/>
      <c r="H95" s="30"/>
      <c r="I95" s="2"/>
      <c r="J95" s="2"/>
      <c r="K95" s="2"/>
      <c r="L95" s="2"/>
      <c r="M95" s="2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0"/>
      <c r="G96" s="30"/>
      <c r="H96" s="30"/>
      <c r="I96" s="2"/>
      <c r="J96" s="2"/>
      <c r="K96" s="2"/>
      <c r="L96" s="2"/>
      <c r="M96" s="2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0"/>
      <c r="G97" s="30"/>
      <c r="H97" s="30"/>
      <c r="I97" s="2"/>
      <c r="J97" s="2"/>
      <c r="K97" s="2"/>
      <c r="L97" s="2"/>
      <c r="M97" s="2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0"/>
      <c r="G98" s="30"/>
      <c r="H98" s="30"/>
      <c r="I98" s="2"/>
      <c r="J98" s="2"/>
      <c r="K98" s="2"/>
      <c r="L98" s="2"/>
      <c r="M98" s="2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0"/>
      <c r="G99" s="30"/>
      <c r="H99" s="30"/>
      <c r="I99" s="2"/>
      <c r="J99" s="2"/>
      <c r="K99" s="2"/>
      <c r="L99" s="2"/>
      <c r="M99" s="2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0"/>
      <c r="G100" s="30"/>
      <c r="H100" s="30"/>
      <c r="I100" s="2"/>
      <c r="J100" s="2"/>
      <c r="K100" s="2"/>
      <c r="L100" s="2"/>
      <c r="M100" s="2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0"/>
      <c r="G101" s="30"/>
      <c r="H101" s="30"/>
      <c r="I101" s="2"/>
      <c r="J101" s="2"/>
      <c r="K101" s="2"/>
      <c r="L101" s="2"/>
      <c r="M101" s="2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0"/>
      <c r="G102" s="30"/>
      <c r="H102" s="30"/>
      <c r="I102" s="2"/>
      <c r="J102" s="2"/>
      <c r="K102" s="2"/>
      <c r="L102" s="2"/>
      <c r="M102" s="2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0"/>
      <c r="G103" s="30"/>
      <c r="H103" s="30"/>
      <c r="I103" s="2"/>
      <c r="J103" s="2"/>
      <c r="K103" s="2"/>
      <c r="L103" s="2"/>
      <c r="M103" s="2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0"/>
      <c r="G104" s="30"/>
      <c r="H104" s="30"/>
      <c r="I104" s="2"/>
      <c r="J104" s="2"/>
      <c r="K104" s="2"/>
      <c r="L104" s="2"/>
      <c r="M104" s="2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0"/>
      <c r="G105" s="30"/>
      <c r="H105" s="30"/>
      <c r="I105" s="2"/>
      <c r="J105" s="2"/>
      <c r="K105" s="2"/>
      <c r="L105" s="2"/>
      <c r="M105" s="2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0"/>
      <c r="G106" s="30"/>
      <c r="H106" s="30"/>
      <c r="I106" s="2"/>
      <c r="J106" s="2"/>
      <c r="K106" s="2"/>
      <c r="L106" s="2"/>
      <c r="M106" s="2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0"/>
      <c r="G107" s="30"/>
      <c r="H107" s="30"/>
      <c r="I107" s="2"/>
      <c r="J107" s="2"/>
      <c r="K107" s="2"/>
      <c r="L107" s="2"/>
      <c r="M107" s="2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0"/>
      <c r="G108" s="30"/>
      <c r="H108" s="30"/>
      <c r="I108" s="2"/>
      <c r="J108" s="2"/>
      <c r="K108" s="2"/>
      <c r="L108" s="2"/>
      <c r="M108" s="2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0"/>
      <c r="G109" s="30"/>
      <c r="H109" s="30"/>
      <c r="I109" s="2"/>
      <c r="J109" s="2"/>
      <c r="K109" s="2"/>
      <c r="L109" s="2"/>
      <c r="M109" s="2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0"/>
      <c r="G110" s="30"/>
      <c r="H110" s="30"/>
      <c r="I110" s="2"/>
      <c r="J110" s="2"/>
      <c r="K110" s="2"/>
      <c r="L110" s="2"/>
      <c r="M110" s="2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0"/>
      <c r="G111" s="30"/>
      <c r="H111" s="30"/>
      <c r="I111" s="2"/>
      <c r="J111" s="2"/>
      <c r="K111" s="2"/>
      <c r="L111" s="2"/>
      <c r="M111" s="2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0"/>
      <c r="G112" s="30"/>
      <c r="H112" s="30"/>
      <c r="I112" s="2"/>
      <c r="J112" s="2"/>
      <c r="K112" s="2"/>
      <c r="L112" s="2"/>
      <c r="M112" s="2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0"/>
      <c r="G113" s="30"/>
      <c r="H113" s="30"/>
      <c r="I113" s="2"/>
      <c r="J113" s="2"/>
      <c r="K113" s="2"/>
      <c r="L113" s="2"/>
      <c r="M113" s="2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0"/>
      <c r="G114" s="30"/>
      <c r="H114" s="30"/>
      <c r="I114" s="2"/>
      <c r="J114" s="2"/>
      <c r="K114" s="2"/>
      <c r="L114" s="2"/>
      <c r="M114" s="2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0"/>
      <c r="G115" s="30"/>
      <c r="H115" s="30"/>
      <c r="I115" s="2"/>
      <c r="J115" s="2"/>
      <c r="K115" s="2"/>
      <c r="L115" s="2"/>
      <c r="M115" s="2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0"/>
      <c r="G116" s="30"/>
      <c r="H116" s="30"/>
      <c r="I116" s="2"/>
      <c r="J116" s="2"/>
      <c r="K116" s="2"/>
      <c r="L116" s="2"/>
      <c r="M116" s="2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0"/>
      <c r="G117" s="30"/>
      <c r="H117" s="30"/>
      <c r="I117" s="2"/>
      <c r="J117" s="2"/>
      <c r="K117" s="2"/>
      <c r="L117" s="2"/>
      <c r="M117" s="2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0"/>
      <c r="G118" s="30"/>
      <c r="H118" s="30"/>
      <c r="I118" s="2"/>
      <c r="J118" s="2"/>
      <c r="K118" s="2"/>
      <c r="L118" s="2"/>
      <c r="M118" s="2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0"/>
      <c r="G119" s="30"/>
      <c r="H119" s="30"/>
      <c r="I119" s="2"/>
      <c r="J119" s="2"/>
      <c r="K119" s="2"/>
      <c r="L119" s="2"/>
      <c r="M119" s="2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0"/>
      <c r="G120" s="30"/>
      <c r="H120" s="30"/>
      <c r="I120" s="2"/>
      <c r="J120" s="2"/>
      <c r="K120" s="2"/>
      <c r="L120" s="2"/>
      <c r="M120" s="2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0"/>
      <c r="G121" s="30"/>
      <c r="H121" s="30"/>
      <c r="I121" s="2"/>
      <c r="J121" s="2"/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H121">
    <cfRule type="expression" dxfId="10" priority="1">
      <formula>MOD(ROW(),2)=0</formula>
    </cfRule>
  </conditionalFormatting>
  <hyperlinks>
    <hyperlink ref="X1" location="'Cover'!A1" display="Cover" xr:uid="{00000000-0004-0000-1000-000000000000}"/>
    <hyperlink ref="Y1" location="'Index'!A1" display="Index" xr:uid="{00000000-0004-0000-1000-000001000000}"/>
    <hyperlink ref="Z1" location="'Executive Dashboard'!A1" display="Dashboard" xr:uid="{00000000-0004-0000-1000-000002000000}"/>
    <hyperlink ref="AA1" location="'Live KPI Overview'!A1" display="Analytics" xr:uid="{00000000-0004-0000-10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50"/>
  <sheetViews>
    <sheetView showGridLines="0" workbookViewId="0">
      <pane ySplit="1" topLeftCell="A104" activePane="bottomLeft" state="frozen"/>
      <selection pane="bottomLeft" sqref="A1:H121"/>
    </sheetView>
  </sheetViews>
  <sheetFormatPr defaultRowHeight="13.8"/>
  <cols>
    <col min="1" max="8" width="17" customWidth="1"/>
    <col min="9" max="21" width="19" customWidth="1"/>
    <col min="24" max="27" width="13" customWidth="1"/>
  </cols>
  <sheetData>
    <row r="1" spans="1:27" ht="34.950000000000003" customHeight="1">
      <c r="A1" s="29" t="s">
        <v>224</v>
      </c>
      <c r="B1" s="29" t="s">
        <v>225</v>
      </c>
      <c r="C1" s="29" t="s">
        <v>226</v>
      </c>
      <c r="D1" s="29" t="s">
        <v>227</v>
      </c>
      <c r="E1" s="29" t="s">
        <v>228</v>
      </c>
      <c r="F1" s="29" t="s">
        <v>99</v>
      </c>
      <c r="G1" s="29" t="s">
        <v>229</v>
      </c>
      <c r="H1" s="29" t="s">
        <v>230</v>
      </c>
      <c r="I1" s="4"/>
      <c r="J1" s="4"/>
      <c r="K1" s="4"/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/>
      <c r="B2" s="30"/>
      <c r="C2" s="30"/>
      <c r="D2" s="30"/>
      <c r="E2" s="30"/>
      <c r="F2" s="30"/>
      <c r="G2" s="30"/>
      <c r="H2" s="30"/>
      <c r="I2" s="7"/>
      <c r="J2" s="7"/>
      <c r="K2" s="7"/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/>
      <c r="B3" s="30"/>
      <c r="C3" s="30"/>
      <c r="D3" s="30"/>
      <c r="E3" s="30"/>
      <c r="F3" s="30"/>
      <c r="G3" s="30"/>
      <c r="H3" s="30"/>
      <c r="I3" s="2"/>
      <c r="J3" s="2"/>
      <c r="K3" s="2"/>
      <c r="L3" s="2"/>
      <c r="M3" s="2"/>
      <c r="N3" s="2"/>
      <c r="O3" s="2"/>
      <c r="P3" s="2"/>
    </row>
    <row r="4" spans="1:27" ht="22.95" customHeight="1">
      <c r="A4" s="30"/>
      <c r="B4" s="30"/>
      <c r="C4" s="30"/>
      <c r="D4" s="30"/>
      <c r="E4" s="30"/>
      <c r="F4" s="30"/>
      <c r="G4" s="30"/>
      <c r="H4" s="30"/>
      <c r="I4" s="2"/>
      <c r="J4" s="2"/>
      <c r="K4" s="2"/>
      <c r="L4" s="2"/>
      <c r="M4" s="2"/>
      <c r="N4" s="2"/>
      <c r="O4" s="2"/>
      <c r="P4" s="2"/>
    </row>
    <row r="5" spans="1:27" ht="22.95" customHeight="1">
      <c r="A5" s="30"/>
      <c r="B5" s="30"/>
      <c r="C5" s="30"/>
      <c r="D5" s="30"/>
      <c r="E5" s="30"/>
      <c r="F5" s="30"/>
      <c r="G5" s="30"/>
      <c r="H5" s="30"/>
      <c r="I5" s="2"/>
      <c r="J5" s="2"/>
      <c r="K5" s="2"/>
      <c r="L5" s="2"/>
      <c r="M5" s="2"/>
      <c r="N5" s="2"/>
      <c r="O5" s="2"/>
      <c r="P5" s="2"/>
    </row>
    <row r="6" spans="1:27" ht="22.95" customHeight="1">
      <c r="A6" s="30"/>
      <c r="B6" s="30"/>
      <c r="C6" s="30"/>
      <c r="D6" s="30"/>
      <c r="E6" s="30"/>
      <c r="F6" s="30"/>
      <c r="G6" s="30"/>
      <c r="H6" s="30"/>
      <c r="I6" s="2"/>
      <c r="J6" s="2"/>
      <c r="K6" s="2"/>
      <c r="L6" s="2"/>
      <c r="M6" s="2"/>
      <c r="N6" s="2"/>
      <c r="O6" s="2"/>
      <c r="P6" s="2"/>
    </row>
    <row r="7" spans="1:27" ht="22.95" customHeight="1">
      <c r="A7" s="30"/>
      <c r="B7" s="30"/>
      <c r="C7" s="30"/>
      <c r="D7" s="30"/>
      <c r="E7" s="30"/>
      <c r="F7" s="30"/>
      <c r="G7" s="30"/>
      <c r="H7" s="30"/>
      <c r="I7" s="2"/>
      <c r="J7" s="2"/>
      <c r="K7" s="2"/>
      <c r="L7" s="2"/>
      <c r="M7" s="2"/>
      <c r="N7" s="2"/>
      <c r="O7" s="2"/>
      <c r="P7" s="2"/>
    </row>
    <row r="8" spans="1:27" ht="22.95" customHeight="1">
      <c r="A8" s="30"/>
      <c r="B8" s="30"/>
      <c r="C8" s="30"/>
      <c r="D8" s="30"/>
      <c r="E8" s="30"/>
      <c r="F8" s="30"/>
      <c r="G8" s="30"/>
      <c r="H8" s="30"/>
      <c r="I8" s="2"/>
      <c r="J8" s="2"/>
      <c r="K8" s="2"/>
      <c r="L8" s="2"/>
      <c r="M8" s="2"/>
      <c r="N8" s="2"/>
      <c r="O8" s="2"/>
      <c r="P8" s="2"/>
    </row>
    <row r="9" spans="1:27" ht="22.95" customHeight="1">
      <c r="A9" s="30"/>
      <c r="B9" s="30"/>
      <c r="C9" s="30"/>
      <c r="D9" s="30"/>
      <c r="E9" s="30"/>
      <c r="F9" s="30"/>
      <c r="G9" s="30"/>
      <c r="H9" s="30"/>
      <c r="I9" s="2"/>
      <c r="J9" s="2"/>
      <c r="K9" s="2"/>
      <c r="L9" s="2"/>
      <c r="M9" s="2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0"/>
      <c r="G10" s="30"/>
      <c r="H10" s="30"/>
      <c r="I10" s="2"/>
      <c r="J10" s="2"/>
      <c r="K10" s="2"/>
      <c r="L10" s="2"/>
      <c r="M10" s="2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0"/>
      <c r="G11" s="30"/>
      <c r="H11" s="30"/>
      <c r="I11" s="2"/>
      <c r="J11" s="2"/>
      <c r="K11" s="2"/>
      <c r="L11" s="2"/>
      <c r="M11" s="2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0"/>
      <c r="G12" s="30"/>
      <c r="H12" s="30"/>
      <c r="I12" s="2"/>
      <c r="J12" s="2"/>
      <c r="K12" s="2"/>
      <c r="L12" s="2"/>
      <c r="M12" s="2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0"/>
      <c r="G13" s="30"/>
      <c r="H13" s="30"/>
      <c r="I13" s="2"/>
      <c r="J13" s="2"/>
      <c r="K13" s="2"/>
      <c r="L13" s="2"/>
      <c r="M13" s="2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0"/>
      <c r="G14" s="30"/>
      <c r="H14" s="30"/>
      <c r="I14" s="2"/>
      <c r="J14" s="2"/>
      <c r="K14" s="2"/>
      <c r="L14" s="2"/>
      <c r="M14" s="2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0"/>
      <c r="G15" s="30"/>
      <c r="H15" s="30"/>
      <c r="I15" s="2"/>
      <c r="J15" s="2"/>
      <c r="K15" s="2"/>
      <c r="L15" s="2"/>
      <c r="M15" s="2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0"/>
      <c r="G16" s="30"/>
      <c r="H16" s="30"/>
      <c r="I16" s="2"/>
      <c r="J16" s="2"/>
      <c r="K16" s="2"/>
      <c r="L16" s="2"/>
      <c r="M16" s="2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0"/>
      <c r="G17" s="30"/>
      <c r="H17" s="30"/>
      <c r="I17" s="2"/>
      <c r="J17" s="2"/>
      <c r="K17" s="2"/>
      <c r="L17" s="2"/>
      <c r="M17" s="2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0"/>
      <c r="G18" s="30"/>
      <c r="H18" s="30"/>
      <c r="I18" s="2"/>
      <c r="J18" s="2"/>
      <c r="K18" s="2"/>
      <c r="L18" s="2"/>
      <c r="M18" s="2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0"/>
      <c r="G19" s="30"/>
      <c r="H19" s="30"/>
      <c r="I19" s="2"/>
      <c r="J19" s="2"/>
      <c r="K19" s="2"/>
      <c r="L19" s="2"/>
      <c r="M19" s="2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0"/>
      <c r="G20" s="30"/>
      <c r="H20" s="30"/>
      <c r="I20" s="2"/>
      <c r="J20" s="2"/>
      <c r="K20" s="2"/>
      <c r="L20" s="2"/>
      <c r="M20" s="2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0"/>
      <c r="G21" s="30"/>
      <c r="H21" s="30"/>
      <c r="I21" s="2"/>
      <c r="J21" s="2"/>
      <c r="K21" s="2"/>
      <c r="L21" s="2"/>
      <c r="M21" s="2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0"/>
      <c r="G22" s="30"/>
      <c r="H22" s="30"/>
      <c r="I22" s="2"/>
      <c r="J22" s="2"/>
      <c r="K22" s="2"/>
      <c r="L22" s="2"/>
      <c r="M22" s="2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0"/>
      <c r="G23" s="30"/>
      <c r="H23" s="30"/>
      <c r="I23" s="2"/>
      <c r="J23" s="2"/>
      <c r="K23" s="2"/>
      <c r="L23" s="2"/>
      <c r="M23" s="2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0"/>
      <c r="G24" s="30"/>
      <c r="H24" s="30"/>
      <c r="I24" s="2"/>
      <c r="J24" s="2"/>
      <c r="K24" s="2"/>
      <c r="L24" s="2"/>
      <c r="M24" s="2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0"/>
      <c r="G25" s="30"/>
      <c r="H25" s="30"/>
      <c r="I25" s="2"/>
      <c r="J25" s="2"/>
      <c r="K25" s="2"/>
      <c r="L25" s="2"/>
      <c r="M25" s="2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0"/>
      <c r="G26" s="30"/>
      <c r="H26" s="30"/>
      <c r="I26" s="2"/>
      <c r="J26" s="2"/>
      <c r="K26" s="2"/>
      <c r="L26" s="2"/>
      <c r="M26" s="2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0"/>
      <c r="G27" s="30"/>
      <c r="H27" s="30"/>
      <c r="I27" s="2"/>
      <c r="J27" s="2"/>
      <c r="K27" s="2"/>
      <c r="L27" s="2"/>
      <c r="M27" s="2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0"/>
      <c r="G28" s="30"/>
      <c r="H28" s="30"/>
      <c r="I28" s="2"/>
      <c r="J28" s="2"/>
      <c r="K28" s="2"/>
      <c r="L28" s="2"/>
      <c r="M28" s="2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0"/>
      <c r="G29" s="30"/>
      <c r="H29" s="30"/>
      <c r="I29" s="2"/>
      <c r="J29" s="2"/>
      <c r="K29" s="2"/>
      <c r="L29" s="2"/>
      <c r="M29" s="2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0"/>
      <c r="G30" s="30"/>
      <c r="H30" s="30"/>
      <c r="I30" s="2"/>
      <c r="J30" s="2"/>
      <c r="K30" s="2"/>
      <c r="L30" s="2"/>
      <c r="M30" s="2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0"/>
      <c r="G31" s="30"/>
      <c r="H31" s="30"/>
      <c r="I31" s="2"/>
      <c r="J31" s="2"/>
      <c r="K31" s="2"/>
      <c r="L31" s="2"/>
      <c r="M31" s="2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0"/>
      <c r="G32" s="30"/>
      <c r="H32" s="30"/>
      <c r="I32" s="2"/>
      <c r="J32" s="2"/>
      <c r="K32" s="2"/>
      <c r="L32" s="2"/>
      <c r="M32" s="2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0"/>
      <c r="G33" s="30"/>
      <c r="H33" s="30"/>
      <c r="I33" s="2"/>
      <c r="J33" s="2"/>
      <c r="K33" s="2"/>
      <c r="L33" s="2"/>
      <c r="M33" s="2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0"/>
      <c r="G34" s="30"/>
      <c r="H34" s="30"/>
      <c r="I34" s="2"/>
      <c r="J34" s="2"/>
      <c r="K34" s="2"/>
      <c r="L34" s="2"/>
      <c r="M34" s="2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0"/>
      <c r="G35" s="30"/>
      <c r="H35" s="30"/>
      <c r="I35" s="2"/>
      <c r="J35" s="2"/>
      <c r="K35" s="2"/>
      <c r="L35" s="2"/>
      <c r="M35" s="2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0"/>
      <c r="G36" s="30"/>
      <c r="H36" s="30"/>
      <c r="I36" s="2"/>
      <c r="J36" s="2"/>
      <c r="K36" s="2"/>
      <c r="L36" s="2"/>
      <c r="M36" s="2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0"/>
      <c r="G37" s="30"/>
      <c r="H37" s="30"/>
      <c r="I37" s="2"/>
      <c r="J37" s="2"/>
      <c r="K37" s="2"/>
      <c r="L37" s="2"/>
      <c r="M37" s="2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0"/>
      <c r="G38" s="30"/>
      <c r="H38" s="30"/>
      <c r="I38" s="2"/>
      <c r="J38" s="2"/>
      <c r="K38" s="2"/>
      <c r="L38" s="2"/>
      <c r="M38" s="2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0"/>
      <c r="G39" s="30"/>
      <c r="H39" s="30"/>
      <c r="I39" s="2"/>
      <c r="J39" s="2"/>
      <c r="K39" s="2"/>
      <c r="L39" s="2"/>
      <c r="M39" s="2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0"/>
      <c r="G40" s="30"/>
      <c r="H40" s="30"/>
      <c r="I40" s="2"/>
      <c r="J40" s="2"/>
      <c r="K40" s="2"/>
      <c r="L40" s="2"/>
      <c r="M40" s="2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0"/>
      <c r="G41" s="30"/>
      <c r="H41" s="30"/>
      <c r="I41" s="2"/>
      <c r="J41" s="2"/>
      <c r="K41" s="2"/>
      <c r="L41" s="2"/>
      <c r="M41" s="2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0"/>
      <c r="G42" s="30"/>
      <c r="H42" s="30"/>
      <c r="I42" s="2"/>
      <c r="J42" s="2"/>
      <c r="K42" s="2"/>
      <c r="L42" s="2"/>
      <c r="M42" s="2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0"/>
      <c r="G43" s="30"/>
      <c r="H43" s="30"/>
      <c r="I43" s="2"/>
      <c r="J43" s="2"/>
      <c r="K43" s="2"/>
      <c r="L43" s="2"/>
      <c r="M43" s="2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0"/>
      <c r="G44" s="30"/>
      <c r="H44" s="30"/>
      <c r="I44" s="2"/>
      <c r="J44" s="2"/>
      <c r="K44" s="2"/>
      <c r="L44" s="2"/>
      <c r="M44" s="2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0"/>
      <c r="G45" s="30"/>
      <c r="H45" s="30"/>
      <c r="I45" s="2"/>
      <c r="J45" s="2"/>
      <c r="K45" s="2"/>
      <c r="L45" s="2"/>
      <c r="M45" s="2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0"/>
      <c r="G46" s="30"/>
      <c r="H46" s="30"/>
      <c r="I46" s="2"/>
      <c r="J46" s="2"/>
      <c r="K46" s="2"/>
      <c r="L46" s="2"/>
      <c r="M46" s="2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0"/>
      <c r="G47" s="30"/>
      <c r="H47" s="30"/>
      <c r="I47" s="2"/>
      <c r="J47" s="2"/>
      <c r="K47" s="2"/>
      <c r="L47" s="2"/>
      <c r="M47" s="2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0"/>
      <c r="G48" s="30"/>
      <c r="H48" s="30"/>
      <c r="I48" s="2"/>
      <c r="J48" s="2"/>
      <c r="K48" s="2"/>
      <c r="L48" s="2"/>
      <c r="M48" s="2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0"/>
      <c r="G49" s="30"/>
      <c r="H49" s="30"/>
      <c r="I49" s="2"/>
      <c r="J49" s="2"/>
      <c r="K49" s="2"/>
      <c r="L49" s="2"/>
      <c r="M49" s="2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0"/>
      <c r="G50" s="30"/>
      <c r="H50" s="30"/>
      <c r="I50" s="2"/>
      <c r="J50" s="2"/>
      <c r="K50" s="2"/>
      <c r="L50" s="2"/>
      <c r="M50" s="2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0"/>
      <c r="G51" s="30"/>
      <c r="H51" s="30"/>
      <c r="I51" s="2"/>
      <c r="J51" s="2"/>
      <c r="K51" s="2"/>
      <c r="L51" s="2"/>
      <c r="M51" s="2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0"/>
      <c r="G52" s="30"/>
      <c r="H52" s="30"/>
      <c r="I52" s="2"/>
      <c r="J52" s="2"/>
      <c r="K52" s="2"/>
      <c r="L52" s="2"/>
      <c r="M52" s="2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0"/>
      <c r="G53" s="30"/>
      <c r="H53" s="30"/>
      <c r="I53" s="2"/>
      <c r="J53" s="2"/>
      <c r="K53" s="2"/>
      <c r="L53" s="2"/>
      <c r="M53" s="2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0"/>
      <c r="G54" s="30"/>
      <c r="H54" s="30"/>
      <c r="I54" s="2"/>
      <c r="J54" s="2"/>
      <c r="K54" s="2"/>
      <c r="L54" s="2"/>
      <c r="M54" s="2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0"/>
      <c r="G55" s="30"/>
      <c r="H55" s="30"/>
      <c r="I55" s="2"/>
      <c r="J55" s="2"/>
      <c r="K55" s="2"/>
      <c r="L55" s="2"/>
      <c r="M55" s="2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0"/>
      <c r="G56" s="30"/>
      <c r="H56" s="30"/>
      <c r="I56" s="2"/>
      <c r="J56" s="2"/>
      <c r="K56" s="2"/>
      <c r="L56" s="2"/>
      <c r="M56" s="2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0"/>
      <c r="G57" s="30"/>
      <c r="H57" s="30"/>
      <c r="I57" s="2"/>
      <c r="J57" s="2"/>
      <c r="K57" s="2"/>
      <c r="L57" s="2"/>
      <c r="M57" s="2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0"/>
      <c r="G58" s="30"/>
      <c r="H58" s="30"/>
      <c r="I58" s="2"/>
      <c r="J58" s="2"/>
      <c r="K58" s="2"/>
      <c r="L58" s="2"/>
      <c r="M58" s="2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0"/>
      <c r="G59" s="30"/>
      <c r="H59" s="30"/>
      <c r="I59" s="2"/>
      <c r="J59" s="2"/>
      <c r="K59" s="2"/>
      <c r="L59" s="2"/>
      <c r="M59" s="2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0"/>
      <c r="G60" s="30"/>
      <c r="H60" s="30"/>
      <c r="I60" s="2"/>
      <c r="J60" s="2"/>
      <c r="K60" s="2"/>
      <c r="L60" s="2"/>
      <c r="M60" s="2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0"/>
      <c r="G61" s="30"/>
      <c r="H61" s="30"/>
      <c r="I61" s="2"/>
      <c r="J61" s="2"/>
      <c r="K61" s="2"/>
      <c r="L61" s="2"/>
      <c r="M61" s="2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0"/>
      <c r="G62" s="30"/>
      <c r="H62" s="30"/>
      <c r="I62" s="2"/>
      <c r="J62" s="2"/>
      <c r="K62" s="2"/>
      <c r="L62" s="2"/>
      <c r="M62" s="2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0"/>
      <c r="G63" s="30"/>
      <c r="H63" s="30"/>
      <c r="I63" s="2"/>
      <c r="J63" s="2"/>
      <c r="K63" s="2"/>
      <c r="L63" s="2"/>
      <c r="M63" s="2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0"/>
      <c r="G64" s="30"/>
      <c r="H64" s="30"/>
      <c r="I64" s="2"/>
      <c r="J64" s="2"/>
      <c r="K64" s="2"/>
      <c r="L64" s="2"/>
      <c r="M64" s="2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0"/>
      <c r="G65" s="30"/>
      <c r="H65" s="30"/>
      <c r="I65" s="2"/>
      <c r="J65" s="2"/>
      <c r="K65" s="2"/>
      <c r="L65" s="2"/>
      <c r="M65" s="2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0"/>
      <c r="G66" s="30"/>
      <c r="H66" s="30"/>
      <c r="I66" s="2"/>
      <c r="J66" s="2"/>
      <c r="K66" s="2"/>
      <c r="L66" s="2"/>
      <c r="M66" s="2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0"/>
      <c r="G67" s="30"/>
      <c r="H67" s="30"/>
      <c r="I67" s="2"/>
      <c r="J67" s="2"/>
      <c r="K67" s="2"/>
      <c r="L67" s="2"/>
      <c r="M67" s="2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0"/>
      <c r="G68" s="30"/>
      <c r="H68" s="30"/>
      <c r="I68" s="2"/>
      <c r="J68" s="2"/>
      <c r="K68" s="2"/>
      <c r="L68" s="2"/>
      <c r="M68" s="2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0"/>
      <c r="G69" s="30"/>
      <c r="H69" s="30"/>
      <c r="I69" s="2"/>
      <c r="J69" s="2"/>
      <c r="K69" s="2"/>
      <c r="L69" s="2"/>
      <c r="M69" s="2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0"/>
      <c r="G70" s="30"/>
      <c r="H70" s="30"/>
      <c r="I70" s="2"/>
      <c r="J70" s="2"/>
      <c r="K70" s="2"/>
      <c r="L70" s="2"/>
      <c r="M70" s="2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0"/>
      <c r="G71" s="30"/>
      <c r="H71" s="30"/>
      <c r="I71" s="2"/>
      <c r="J71" s="2"/>
      <c r="K71" s="2"/>
      <c r="L71" s="2"/>
      <c r="M71" s="2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0"/>
      <c r="G72" s="30"/>
      <c r="H72" s="30"/>
      <c r="I72" s="2"/>
      <c r="J72" s="2"/>
      <c r="K72" s="2"/>
      <c r="L72" s="2"/>
      <c r="M72" s="2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0"/>
      <c r="G73" s="30"/>
      <c r="H73" s="30"/>
      <c r="I73" s="2"/>
      <c r="J73" s="2"/>
      <c r="K73" s="2"/>
      <c r="L73" s="2"/>
      <c r="M73" s="2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0"/>
      <c r="G74" s="30"/>
      <c r="H74" s="30"/>
      <c r="I74" s="2"/>
      <c r="J74" s="2"/>
      <c r="K74" s="2"/>
      <c r="L74" s="2"/>
      <c r="M74" s="2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0"/>
      <c r="G75" s="30"/>
      <c r="H75" s="30"/>
      <c r="I75" s="2"/>
      <c r="J75" s="2"/>
      <c r="K75" s="2"/>
      <c r="L75" s="2"/>
      <c r="M75" s="2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0"/>
      <c r="G76" s="30"/>
      <c r="H76" s="30"/>
      <c r="I76" s="2"/>
      <c r="J76" s="2"/>
      <c r="K76" s="2"/>
      <c r="L76" s="2"/>
      <c r="M76" s="2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0"/>
      <c r="G77" s="30"/>
      <c r="H77" s="30"/>
      <c r="I77" s="2"/>
      <c r="J77" s="2"/>
      <c r="K77" s="2"/>
      <c r="L77" s="2"/>
      <c r="M77" s="2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0"/>
      <c r="G78" s="30"/>
      <c r="H78" s="30"/>
      <c r="I78" s="2"/>
      <c r="J78" s="2"/>
      <c r="K78" s="2"/>
      <c r="L78" s="2"/>
      <c r="M78" s="2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0"/>
      <c r="G79" s="30"/>
      <c r="H79" s="30"/>
      <c r="I79" s="2"/>
      <c r="J79" s="2"/>
      <c r="K79" s="2"/>
      <c r="L79" s="2"/>
      <c r="M79" s="2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0"/>
      <c r="G80" s="30"/>
      <c r="H80" s="30"/>
      <c r="I80" s="2"/>
      <c r="J80" s="2"/>
      <c r="K80" s="2"/>
      <c r="L80" s="2"/>
      <c r="M80" s="2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0"/>
      <c r="G81" s="30"/>
      <c r="H81" s="30"/>
      <c r="I81" s="2"/>
      <c r="J81" s="2"/>
      <c r="K81" s="2"/>
      <c r="L81" s="2"/>
      <c r="M81" s="2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0"/>
      <c r="G82" s="30"/>
      <c r="H82" s="30"/>
      <c r="I82" s="2"/>
      <c r="J82" s="2"/>
      <c r="K82" s="2"/>
      <c r="L82" s="2"/>
      <c r="M82" s="2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0"/>
      <c r="G83" s="30"/>
      <c r="H83" s="30"/>
      <c r="I83" s="2"/>
      <c r="J83" s="2"/>
      <c r="K83" s="2"/>
      <c r="L83" s="2"/>
      <c r="M83" s="2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0"/>
      <c r="G84" s="30"/>
      <c r="H84" s="30"/>
      <c r="I84" s="2"/>
      <c r="J84" s="2"/>
      <c r="K84" s="2"/>
      <c r="L84" s="2"/>
      <c r="M84" s="2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0"/>
      <c r="G85" s="30"/>
      <c r="H85" s="30"/>
      <c r="I85" s="2"/>
      <c r="J85" s="2"/>
      <c r="K85" s="2"/>
      <c r="L85" s="2"/>
      <c r="M85" s="2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0"/>
      <c r="G86" s="30"/>
      <c r="H86" s="30"/>
      <c r="I86" s="2"/>
      <c r="J86" s="2"/>
      <c r="K86" s="2"/>
      <c r="L86" s="2"/>
      <c r="M86" s="2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0"/>
      <c r="G87" s="30"/>
      <c r="H87" s="30"/>
      <c r="I87" s="2"/>
      <c r="J87" s="2"/>
      <c r="K87" s="2"/>
      <c r="L87" s="2"/>
      <c r="M87" s="2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0"/>
      <c r="G88" s="30"/>
      <c r="H88" s="30"/>
      <c r="I88" s="2"/>
      <c r="J88" s="2"/>
      <c r="K88" s="2"/>
      <c r="L88" s="2"/>
      <c r="M88" s="2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0"/>
      <c r="G89" s="30"/>
      <c r="H89" s="30"/>
      <c r="I89" s="2"/>
      <c r="J89" s="2"/>
      <c r="K89" s="2"/>
      <c r="L89" s="2"/>
      <c r="M89" s="2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0"/>
      <c r="G90" s="30"/>
      <c r="H90" s="30"/>
      <c r="I90" s="2"/>
      <c r="J90" s="2"/>
      <c r="K90" s="2"/>
      <c r="L90" s="2"/>
      <c r="M90" s="2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0"/>
      <c r="G91" s="30"/>
      <c r="H91" s="30"/>
      <c r="I91" s="2"/>
      <c r="J91" s="2"/>
      <c r="K91" s="2"/>
      <c r="L91" s="2"/>
      <c r="M91" s="2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0"/>
      <c r="G92" s="30"/>
      <c r="H92" s="30"/>
      <c r="I92" s="2"/>
      <c r="J92" s="2"/>
      <c r="K92" s="2"/>
      <c r="L92" s="2"/>
      <c r="M92" s="2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0"/>
      <c r="G93" s="30"/>
      <c r="H93" s="30"/>
      <c r="I93" s="2"/>
      <c r="J93" s="2"/>
      <c r="K93" s="2"/>
      <c r="L93" s="2"/>
      <c r="M93" s="2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0"/>
      <c r="G94" s="30"/>
      <c r="H94" s="30"/>
      <c r="I94" s="2"/>
      <c r="J94" s="2"/>
      <c r="K94" s="2"/>
      <c r="L94" s="2"/>
      <c r="M94" s="2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0"/>
      <c r="G95" s="30"/>
      <c r="H95" s="30"/>
      <c r="I95" s="2"/>
      <c r="J95" s="2"/>
      <c r="K95" s="2"/>
      <c r="L95" s="2"/>
      <c r="M95" s="2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0"/>
      <c r="G96" s="30"/>
      <c r="H96" s="30"/>
      <c r="I96" s="2"/>
      <c r="J96" s="2"/>
      <c r="K96" s="2"/>
      <c r="L96" s="2"/>
      <c r="M96" s="2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0"/>
      <c r="G97" s="30"/>
      <c r="H97" s="30"/>
      <c r="I97" s="2"/>
      <c r="J97" s="2"/>
      <c r="K97" s="2"/>
      <c r="L97" s="2"/>
      <c r="M97" s="2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0"/>
      <c r="G98" s="30"/>
      <c r="H98" s="30"/>
      <c r="I98" s="2"/>
      <c r="J98" s="2"/>
      <c r="K98" s="2"/>
      <c r="L98" s="2"/>
      <c r="M98" s="2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0"/>
      <c r="G99" s="30"/>
      <c r="H99" s="30"/>
      <c r="I99" s="2"/>
      <c r="J99" s="2"/>
      <c r="K99" s="2"/>
      <c r="L99" s="2"/>
      <c r="M99" s="2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0"/>
      <c r="G100" s="30"/>
      <c r="H100" s="30"/>
      <c r="I100" s="2"/>
      <c r="J100" s="2"/>
      <c r="K100" s="2"/>
      <c r="L100" s="2"/>
      <c r="M100" s="2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0"/>
      <c r="G101" s="30"/>
      <c r="H101" s="30"/>
      <c r="I101" s="2"/>
      <c r="J101" s="2"/>
      <c r="K101" s="2"/>
      <c r="L101" s="2"/>
      <c r="M101" s="2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0"/>
      <c r="G102" s="30"/>
      <c r="H102" s="30"/>
      <c r="I102" s="2"/>
      <c r="J102" s="2"/>
      <c r="K102" s="2"/>
      <c r="L102" s="2"/>
      <c r="M102" s="2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0"/>
      <c r="G103" s="30"/>
      <c r="H103" s="30"/>
      <c r="I103" s="2"/>
      <c r="J103" s="2"/>
      <c r="K103" s="2"/>
      <c r="L103" s="2"/>
      <c r="M103" s="2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0"/>
      <c r="G104" s="30"/>
      <c r="H104" s="30"/>
      <c r="I104" s="2"/>
      <c r="J104" s="2"/>
      <c r="K104" s="2"/>
      <c r="L104" s="2"/>
      <c r="M104" s="2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0"/>
      <c r="G105" s="30"/>
      <c r="H105" s="30"/>
      <c r="I105" s="2"/>
      <c r="J105" s="2"/>
      <c r="K105" s="2"/>
      <c r="L105" s="2"/>
      <c r="M105" s="2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0"/>
      <c r="G106" s="30"/>
      <c r="H106" s="30"/>
      <c r="I106" s="2"/>
      <c r="J106" s="2"/>
      <c r="K106" s="2"/>
      <c r="L106" s="2"/>
      <c r="M106" s="2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0"/>
      <c r="G107" s="30"/>
      <c r="H107" s="30"/>
      <c r="I107" s="2"/>
      <c r="J107" s="2"/>
      <c r="K107" s="2"/>
      <c r="L107" s="2"/>
      <c r="M107" s="2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0"/>
      <c r="G108" s="30"/>
      <c r="H108" s="30"/>
      <c r="I108" s="2"/>
      <c r="J108" s="2"/>
      <c r="K108" s="2"/>
      <c r="L108" s="2"/>
      <c r="M108" s="2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0"/>
      <c r="G109" s="30"/>
      <c r="H109" s="30"/>
      <c r="I109" s="2"/>
      <c r="J109" s="2"/>
      <c r="K109" s="2"/>
      <c r="L109" s="2"/>
      <c r="M109" s="2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0"/>
      <c r="G110" s="30"/>
      <c r="H110" s="30"/>
      <c r="I110" s="2"/>
      <c r="J110" s="2"/>
      <c r="K110" s="2"/>
      <c r="L110" s="2"/>
      <c r="M110" s="2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0"/>
      <c r="G111" s="30"/>
      <c r="H111" s="30"/>
      <c r="I111" s="2"/>
      <c r="J111" s="2"/>
      <c r="K111" s="2"/>
      <c r="L111" s="2"/>
      <c r="M111" s="2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0"/>
      <c r="G112" s="30"/>
      <c r="H112" s="30"/>
      <c r="I112" s="2"/>
      <c r="J112" s="2"/>
      <c r="K112" s="2"/>
      <c r="L112" s="2"/>
      <c r="M112" s="2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0"/>
      <c r="G113" s="30"/>
      <c r="H113" s="30"/>
      <c r="I113" s="2"/>
      <c r="J113" s="2"/>
      <c r="K113" s="2"/>
      <c r="L113" s="2"/>
      <c r="M113" s="2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0"/>
      <c r="G114" s="30"/>
      <c r="H114" s="30"/>
      <c r="I114" s="2"/>
      <c r="J114" s="2"/>
      <c r="K114" s="2"/>
      <c r="L114" s="2"/>
      <c r="M114" s="2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0"/>
      <c r="G115" s="30"/>
      <c r="H115" s="30"/>
      <c r="I115" s="2"/>
      <c r="J115" s="2"/>
      <c r="K115" s="2"/>
      <c r="L115" s="2"/>
      <c r="M115" s="2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0"/>
      <c r="G116" s="30"/>
      <c r="H116" s="30"/>
      <c r="I116" s="2"/>
      <c r="J116" s="2"/>
      <c r="K116" s="2"/>
      <c r="L116" s="2"/>
      <c r="M116" s="2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0"/>
      <c r="G117" s="30"/>
      <c r="H117" s="30"/>
      <c r="I117" s="2"/>
      <c r="J117" s="2"/>
      <c r="K117" s="2"/>
      <c r="L117" s="2"/>
      <c r="M117" s="2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0"/>
      <c r="G118" s="30"/>
      <c r="H118" s="30"/>
      <c r="I118" s="2"/>
      <c r="J118" s="2"/>
      <c r="K118" s="2"/>
      <c r="L118" s="2"/>
      <c r="M118" s="2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0"/>
      <c r="G119" s="30"/>
      <c r="H119" s="30"/>
      <c r="I119" s="2"/>
      <c r="J119" s="2"/>
      <c r="K119" s="2"/>
      <c r="L119" s="2"/>
      <c r="M119" s="2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0"/>
      <c r="G120" s="30"/>
      <c r="H120" s="30"/>
      <c r="I120" s="2"/>
      <c r="J120" s="2"/>
      <c r="K120" s="2"/>
      <c r="L120" s="2"/>
      <c r="M120" s="2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0"/>
      <c r="G121" s="30"/>
      <c r="H121" s="30"/>
      <c r="I121" s="2"/>
      <c r="J121" s="2"/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H121">
    <cfRule type="expression" dxfId="9" priority="1">
      <formula>MOD(ROW(),2)=0</formula>
    </cfRule>
  </conditionalFormatting>
  <hyperlinks>
    <hyperlink ref="X1" location="'Cover'!A1" display="Cover" xr:uid="{00000000-0004-0000-1100-000000000000}"/>
    <hyperlink ref="Y1" location="'Index'!A1" display="Index" xr:uid="{00000000-0004-0000-1100-000001000000}"/>
    <hyperlink ref="Z1" location="'Executive Dashboard'!A1" display="Dashboard" xr:uid="{00000000-0004-0000-1100-000002000000}"/>
    <hyperlink ref="AA1" location="'Live KPI Overview'!A1" display="Analytics" xr:uid="{00000000-0004-0000-11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50"/>
  <sheetViews>
    <sheetView showGridLines="0" workbookViewId="0">
      <pane ySplit="1" topLeftCell="A104" activePane="bottomLeft" state="frozen"/>
      <selection pane="bottomLeft" sqref="A1:G121"/>
    </sheetView>
  </sheetViews>
  <sheetFormatPr defaultRowHeight="13.8"/>
  <cols>
    <col min="1" max="2" width="17" customWidth="1"/>
    <col min="3" max="3" width="20.19921875" customWidth="1"/>
    <col min="4" max="6" width="17" customWidth="1"/>
    <col min="7" max="7" width="18.296875" customWidth="1"/>
    <col min="8" max="21" width="19" customWidth="1"/>
    <col min="24" max="27" width="13" customWidth="1"/>
  </cols>
  <sheetData>
    <row r="1" spans="1:27" ht="34.950000000000003" customHeight="1">
      <c r="A1" s="29" t="s">
        <v>231</v>
      </c>
      <c r="B1" s="29" t="s">
        <v>224</v>
      </c>
      <c r="C1" s="29" t="s">
        <v>232</v>
      </c>
      <c r="D1" s="29" t="s">
        <v>227</v>
      </c>
      <c r="E1" s="29" t="s">
        <v>228</v>
      </c>
      <c r="F1" s="29" t="s">
        <v>160</v>
      </c>
      <c r="G1" s="29" t="s">
        <v>233</v>
      </c>
      <c r="H1" s="4"/>
      <c r="I1" s="4"/>
      <c r="J1" s="4"/>
      <c r="K1" s="4"/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/>
      <c r="B2" s="30"/>
      <c r="C2" s="30"/>
      <c r="D2" s="30"/>
      <c r="E2" s="30"/>
      <c r="F2" s="33" t="str">
        <f t="shared" ref="F2:F33" si="0">IF(OR(D2="",E2="",E2=0),"",D2/E2)</f>
        <v/>
      </c>
      <c r="G2" s="30"/>
      <c r="H2" s="7"/>
      <c r="I2" s="7"/>
      <c r="J2" s="7"/>
      <c r="K2" s="7"/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/>
      <c r="B3" s="30"/>
      <c r="C3" s="30"/>
      <c r="D3" s="30"/>
      <c r="E3" s="30"/>
      <c r="F3" s="33" t="str">
        <f t="shared" si="0"/>
        <v/>
      </c>
      <c r="G3" s="30"/>
      <c r="H3" s="2"/>
      <c r="I3" s="2"/>
      <c r="J3" s="2"/>
      <c r="K3" s="2"/>
      <c r="L3" s="2"/>
      <c r="M3" s="2"/>
      <c r="N3" s="2"/>
      <c r="O3" s="2"/>
      <c r="P3" s="2"/>
    </row>
    <row r="4" spans="1:27" ht="22.95" customHeight="1">
      <c r="A4" s="30"/>
      <c r="B4" s="30"/>
      <c r="C4" s="30"/>
      <c r="D4" s="30"/>
      <c r="E4" s="30"/>
      <c r="F4" s="33" t="str">
        <f t="shared" si="0"/>
        <v/>
      </c>
      <c r="G4" s="30"/>
      <c r="H4" s="2"/>
      <c r="I4" s="2"/>
      <c r="J4" s="2"/>
      <c r="K4" s="2"/>
      <c r="L4" s="2"/>
      <c r="M4" s="2"/>
      <c r="N4" s="2"/>
      <c r="O4" s="2"/>
      <c r="P4" s="2"/>
    </row>
    <row r="5" spans="1:27" ht="22.95" customHeight="1">
      <c r="A5" s="30"/>
      <c r="B5" s="30"/>
      <c r="C5" s="30"/>
      <c r="D5" s="30"/>
      <c r="E5" s="30"/>
      <c r="F5" s="33" t="str">
        <f t="shared" si="0"/>
        <v/>
      </c>
      <c r="G5" s="30"/>
      <c r="H5" s="2"/>
      <c r="I5" s="2"/>
      <c r="J5" s="2"/>
      <c r="K5" s="2"/>
      <c r="L5" s="2"/>
      <c r="M5" s="2"/>
      <c r="N5" s="2"/>
      <c r="O5" s="2"/>
      <c r="P5" s="2"/>
    </row>
    <row r="6" spans="1:27" ht="22.95" customHeight="1">
      <c r="A6" s="30"/>
      <c r="B6" s="30"/>
      <c r="C6" s="30"/>
      <c r="D6" s="30"/>
      <c r="E6" s="30"/>
      <c r="F6" s="33" t="str">
        <f t="shared" si="0"/>
        <v/>
      </c>
      <c r="G6" s="30"/>
      <c r="H6" s="2"/>
      <c r="I6" s="2"/>
      <c r="J6" s="2"/>
      <c r="K6" s="2"/>
      <c r="L6" s="2"/>
      <c r="M6" s="2"/>
      <c r="N6" s="2"/>
      <c r="O6" s="2"/>
      <c r="P6" s="2"/>
    </row>
    <row r="7" spans="1:27" ht="22.95" customHeight="1">
      <c r="A7" s="30"/>
      <c r="B7" s="30"/>
      <c r="C7" s="30"/>
      <c r="D7" s="30"/>
      <c r="E7" s="30"/>
      <c r="F7" s="33" t="str">
        <f t="shared" si="0"/>
        <v/>
      </c>
      <c r="G7" s="30"/>
      <c r="H7" s="2"/>
      <c r="I7" s="2"/>
      <c r="J7" s="2"/>
      <c r="K7" s="2"/>
      <c r="L7" s="2"/>
      <c r="M7" s="2"/>
      <c r="N7" s="2"/>
      <c r="O7" s="2"/>
      <c r="P7" s="2"/>
    </row>
    <row r="8" spans="1:27" ht="22.95" customHeight="1">
      <c r="A8" s="30"/>
      <c r="B8" s="30"/>
      <c r="C8" s="30"/>
      <c r="D8" s="30"/>
      <c r="E8" s="30"/>
      <c r="F8" s="33" t="str">
        <f t="shared" si="0"/>
        <v/>
      </c>
      <c r="G8" s="30"/>
      <c r="H8" s="2"/>
      <c r="I8" s="2"/>
      <c r="J8" s="2"/>
      <c r="K8" s="2"/>
      <c r="L8" s="2"/>
      <c r="M8" s="2"/>
      <c r="N8" s="2"/>
      <c r="O8" s="2"/>
      <c r="P8" s="2"/>
    </row>
    <row r="9" spans="1:27" ht="22.95" customHeight="1">
      <c r="A9" s="30"/>
      <c r="B9" s="30"/>
      <c r="C9" s="30"/>
      <c r="D9" s="30"/>
      <c r="E9" s="30"/>
      <c r="F9" s="33" t="str">
        <f t="shared" si="0"/>
        <v/>
      </c>
      <c r="G9" s="30"/>
      <c r="H9" s="2"/>
      <c r="I9" s="2"/>
      <c r="J9" s="2"/>
      <c r="K9" s="2"/>
      <c r="L9" s="2"/>
      <c r="M9" s="2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3" t="str">
        <f t="shared" si="0"/>
        <v/>
      </c>
      <c r="G10" s="30"/>
      <c r="H10" s="2"/>
      <c r="I10" s="2"/>
      <c r="J10" s="2"/>
      <c r="K10" s="2"/>
      <c r="L10" s="2"/>
      <c r="M10" s="2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3" t="str">
        <f t="shared" si="0"/>
        <v/>
      </c>
      <c r="G11" s="30"/>
      <c r="H11" s="2"/>
      <c r="I11" s="2"/>
      <c r="J11" s="2"/>
      <c r="K11" s="2"/>
      <c r="L11" s="2"/>
      <c r="M11" s="2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3" t="str">
        <f t="shared" si="0"/>
        <v/>
      </c>
      <c r="G12" s="30"/>
      <c r="H12" s="2"/>
      <c r="I12" s="2"/>
      <c r="J12" s="2"/>
      <c r="K12" s="2"/>
      <c r="L12" s="2"/>
      <c r="M12" s="2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3" t="str">
        <f t="shared" si="0"/>
        <v/>
      </c>
      <c r="G13" s="30"/>
      <c r="H13" s="2"/>
      <c r="I13" s="2"/>
      <c r="J13" s="2"/>
      <c r="K13" s="2"/>
      <c r="L13" s="2"/>
      <c r="M13" s="2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3" t="str">
        <f t="shared" si="0"/>
        <v/>
      </c>
      <c r="G14" s="30"/>
      <c r="H14" s="2"/>
      <c r="I14" s="2"/>
      <c r="J14" s="2"/>
      <c r="K14" s="2"/>
      <c r="L14" s="2"/>
      <c r="M14" s="2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3" t="str">
        <f t="shared" si="0"/>
        <v/>
      </c>
      <c r="G15" s="30"/>
      <c r="H15" s="2"/>
      <c r="I15" s="2"/>
      <c r="J15" s="2"/>
      <c r="K15" s="2"/>
      <c r="L15" s="2"/>
      <c r="M15" s="2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3" t="str">
        <f t="shared" si="0"/>
        <v/>
      </c>
      <c r="G16" s="30"/>
      <c r="H16" s="2"/>
      <c r="I16" s="2"/>
      <c r="J16" s="2"/>
      <c r="K16" s="2"/>
      <c r="L16" s="2"/>
      <c r="M16" s="2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3" t="str">
        <f t="shared" si="0"/>
        <v/>
      </c>
      <c r="G17" s="30"/>
      <c r="H17" s="2"/>
      <c r="I17" s="2"/>
      <c r="J17" s="2"/>
      <c r="K17" s="2"/>
      <c r="L17" s="2"/>
      <c r="M17" s="2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3" t="str">
        <f t="shared" si="0"/>
        <v/>
      </c>
      <c r="G18" s="30"/>
      <c r="H18" s="2"/>
      <c r="I18" s="2"/>
      <c r="J18" s="2"/>
      <c r="K18" s="2"/>
      <c r="L18" s="2"/>
      <c r="M18" s="2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3" t="str">
        <f t="shared" si="0"/>
        <v/>
      </c>
      <c r="G19" s="30"/>
      <c r="H19" s="2"/>
      <c r="I19" s="2"/>
      <c r="J19" s="2"/>
      <c r="K19" s="2"/>
      <c r="L19" s="2"/>
      <c r="M19" s="2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3" t="str">
        <f t="shared" si="0"/>
        <v/>
      </c>
      <c r="G20" s="30"/>
      <c r="H20" s="2"/>
      <c r="I20" s="2"/>
      <c r="J20" s="2"/>
      <c r="K20" s="2"/>
      <c r="L20" s="2"/>
      <c r="M20" s="2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3" t="str">
        <f t="shared" si="0"/>
        <v/>
      </c>
      <c r="G21" s="30"/>
      <c r="H21" s="2"/>
      <c r="I21" s="2"/>
      <c r="J21" s="2"/>
      <c r="K21" s="2"/>
      <c r="L21" s="2"/>
      <c r="M21" s="2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3" t="str">
        <f t="shared" si="0"/>
        <v/>
      </c>
      <c r="G22" s="30"/>
      <c r="H22" s="2"/>
      <c r="I22" s="2"/>
      <c r="J22" s="2"/>
      <c r="K22" s="2"/>
      <c r="L22" s="2"/>
      <c r="M22" s="2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3" t="str">
        <f t="shared" si="0"/>
        <v/>
      </c>
      <c r="G23" s="30"/>
      <c r="H23" s="2"/>
      <c r="I23" s="2"/>
      <c r="J23" s="2"/>
      <c r="K23" s="2"/>
      <c r="L23" s="2"/>
      <c r="M23" s="2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3" t="str">
        <f t="shared" si="0"/>
        <v/>
      </c>
      <c r="G24" s="30"/>
      <c r="H24" s="2"/>
      <c r="I24" s="2"/>
      <c r="J24" s="2"/>
      <c r="K24" s="2"/>
      <c r="L24" s="2"/>
      <c r="M24" s="2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3" t="str">
        <f t="shared" si="0"/>
        <v/>
      </c>
      <c r="G25" s="30"/>
      <c r="H25" s="2"/>
      <c r="I25" s="2"/>
      <c r="J25" s="2"/>
      <c r="K25" s="2"/>
      <c r="L25" s="2"/>
      <c r="M25" s="2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3" t="str">
        <f t="shared" si="0"/>
        <v/>
      </c>
      <c r="G26" s="30"/>
      <c r="H26" s="2"/>
      <c r="I26" s="2"/>
      <c r="J26" s="2"/>
      <c r="K26" s="2"/>
      <c r="L26" s="2"/>
      <c r="M26" s="2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3" t="str">
        <f t="shared" si="0"/>
        <v/>
      </c>
      <c r="G27" s="30"/>
      <c r="H27" s="2"/>
      <c r="I27" s="2"/>
      <c r="J27" s="2"/>
      <c r="K27" s="2"/>
      <c r="L27" s="2"/>
      <c r="M27" s="2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3" t="str">
        <f t="shared" si="0"/>
        <v/>
      </c>
      <c r="G28" s="30"/>
      <c r="H28" s="2"/>
      <c r="I28" s="2"/>
      <c r="J28" s="2"/>
      <c r="K28" s="2"/>
      <c r="L28" s="2"/>
      <c r="M28" s="2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3" t="str">
        <f t="shared" si="0"/>
        <v/>
      </c>
      <c r="G29" s="30"/>
      <c r="H29" s="2"/>
      <c r="I29" s="2"/>
      <c r="J29" s="2"/>
      <c r="K29" s="2"/>
      <c r="L29" s="2"/>
      <c r="M29" s="2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3" t="str">
        <f t="shared" si="0"/>
        <v/>
      </c>
      <c r="G30" s="30"/>
      <c r="H30" s="2"/>
      <c r="I30" s="2"/>
      <c r="J30" s="2"/>
      <c r="K30" s="2"/>
      <c r="L30" s="2"/>
      <c r="M30" s="2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3" t="str">
        <f t="shared" si="0"/>
        <v/>
      </c>
      <c r="G31" s="30"/>
      <c r="H31" s="2"/>
      <c r="I31" s="2"/>
      <c r="J31" s="2"/>
      <c r="K31" s="2"/>
      <c r="L31" s="2"/>
      <c r="M31" s="2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3" t="str">
        <f t="shared" si="0"/>
        <v/>
      </c>
      <c r="G32" s="30"/>
      <c r="H32" s="2"/>
      <c r="I32" s="2"/>
      <c r="J32" s="2"/>
      <c r="K32" s="2"/>
      <c r="L32" s="2"/>
      <c r="M32" s="2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3" t="str">
        <f t="shared" si="0"/>
        <v/>
      </c>
      <c r="G33" s="30"/>
      <c r="H33" s="2"/>
      <c r="I33" s="2"/>
      <c r="J33" s="2"/>
      <c r="K33" s="2"/>
      <c r="L33" s="2"/>
      <c r="M33" s="2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3" t="str">
        <f t="shared" ref="F34:F65" si="1">IF(OR(D34="",E34="",E34=0),"",D34/E34)</f>
        <v/>
      </c>
      <c r="G34" s="30"/>
      <c r="H34" s="2"/>
      <c r="I34" s="2"/>
      <c r="J34" s="2"/>
      <c r="K34" s="2"/>
      <c r="L34" s="2"/>
      <c r="M34" s="2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3" t="str">
        <f t="shared" si="1"/>
        <v/>
      </c>
      <c r="G35" s="30"/>
      <c r="H35" s="2"/>
      <c r="I35" s="2"/>
      <c r="J35" s="2"/>
      <c r="K35" s="2"/>
      <c r="L35" s="2"/>
      <c r="M35" s="2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3" t="str">
        <f t="shared" si="1"/>
        <v/>
      </c>
      <c r="G36" s="30"/>
      <c r="H36" s="2"/>
      <c r="I36" s="2"/>
      <c r="J36" s="2"/>
      <c r="K36" s="2"/>
      <c r="L36" s="2"/>
      <c r="M36" s="2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3" t="str">
        <f t="shared" si="1"/>
        <v/>
      </c>
      <c r="G37" s="30"/>
      <c r="H37" s="2"/>
      <c r="I37" s="2"/>
      <c r="J37" s="2"/>
      <c r="K37" s="2"/>
      <c r="L37" s="2"/>
      <c r="M37" s="2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3" t="str">
        <f t="shared" si="1"/>
        <v/>
      </c>
      <c r="G38" s="30"/>
      <c r="H38" s="2"/>
      <c r="I38" s="2"/>
      <c r="J38" s="2"/>
      <c r="K38" s="2"/>
      <c r="L38" s="2"/>
      <c r="M38" s="2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3" t="str">
        <f t="shared" si="1"/>
        <v/>
      </c>
      <c r="G39" s="30"/>
      <c r="H39" s="2"/>
      <c r="I39" s="2"/>
      <c r="J39" s="2"/>
      <c r="K39" s="2"/>
      <c r="L39" s="2"/>
      <c r="M39" s="2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3" t="str">
        <f t="shared" si="1"/>
        <v/>
      </c>
      <c r="G40" s="30"/>
      <c r="H40" s="2"/>
      <c r="I40" s="2"/>
      <c r="J40" s="2"/>
      <c r="K40" s="2"/>
      <c r="L40" s="2"/>
      <c r="M40" s="2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3" t="str">
        <f t="shared" si="1"/>
        <v/>
      </c>
      <c r="G41" s="30"/>
      <c r="H41" s="2"/>
      <c r="I41" s="2"/>
      <c r="J41" s="2"/>
      <c r="K41" s="2"/>
      <c r="L41" s="2"/>
      <c r="M41" s="2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3" t="str">
        <f t="shared" si="1"/>
        <v/>
      </c>
      <c r="G42" s="30"/>
      <c r="H42" s="2"/>
      <c r="I42" s="2"/>
      <c r="J42" s="2"/>
      <c r="K42" s="2"/>
      <c r="L42" s="2"/>
      <c r="M42" s="2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3" t="str">
        <f t="shared" si="1"/>
        <v/>
      </c>
      <c r="G43" s="30"/>
      <c r="H43" s="2"/>
      <c r="I43" s="2"/>
      <c r="J43" s="2"/>
      <c r="K43" s="2"/>
      <c r="L43" s="2"/>
      <c r="M43" s="2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3" t="str">
        <f t="shared" si="1"/>
        <v/>
      </c>
      <c r="G44" s="30"/>
      <c r="H44" s="2"/>
      <c r="I44" s="2"/>
      <c r="J44" s="2"/>
      <c r="K44" s="2"/>
      <c r="L44" s="2"/>
      <c r="M44" s="2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3" t="str">
        <f t="shared" si="1"/>
        <v/>
      </c>
      <c r="G45" s="30"/>
      <c r="H45" s="2"/>
      <c r="I45" s="2"/>
      <c r="J45" s="2"/>
      <c r="K45" s="2"/>
      <c r="L45" s="2"/>
      <c r="M45" s="2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3" t="str">
        <f t="shared" si="1"/>
        <v/>
      </c>
      <c r="G46" s="30"/>
      <c r="H46" s="2"/>
      <c r="I46" s="2"/>
      <c r="J46" s="2"/>
      <c r="K46" s="2"/>
      <c r="L46" s="2"/>
      <c r="M46" s="2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3" t="str">
        <f t="shared" si="1"/>
        <v/>
      </c>
      <c r="G47" s="30"/>
      <c r="H47" s="2"/>
      <c r="I47" s="2"/>
      <c r="J47" s="2"/>
      <c r="K47" s="2"/>
      <c r="L47" s="2"/>
      <c r="M47" s="2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3" t="str">
        <f t="shared" si="1"/>
        <v/>
      </c>
      <c r="G48" s="30"/>
      <c r="H48" s="2"/>
      <c r="I48" s="2"/>
      <c r="J48" s="2"/>
      <c r="K48" s="2"/>
      <c r="L48" s="2"/>
      <c r="M48" s="2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3" t="str">
        <f t="shared" si="1"/>
        <v/>
      </c>
      <c r="G49" s="30"/>
      <c r="H49" s="2"/>
      <c r="I49" s="2"/>
      <c r="J49" s="2"/>
      <c r="K49" s="2"/>
      <c r="L49" s="2"/>
      <c r="M49" s="2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3" t="str">
        <f t="shared" si="1"/>
        <v/>
      </c>
      <c r="G50" s="30"/>
      <c r="H50" s="2"/>
      <c r="I50" s="2"/>
      <c r="J50" s="2"/>
      <c r="K50" s="2"/>
      <c r="L50" s="2"/>
      <c r="M50" s="2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3" t="str">
        <f t="shared" si="1"/>
        <v/>
      </c>
      <c r="G51" s="30"/>
      <c r="H51" s="2"/>
      <c r="I51" s="2"/>
      <c r="J51" s="2"/>
      <c r="K51" s="2"/>
      <c r="L51" s="2"/>
      <c r="M51" s="2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3" t="str">
        <f t="shared" si="1"/>
        <v/>
      </c>
      <c r="G52" s="30"/>
      <c r="H52" s="2"/>
      <c r="I52" s="2"/>
      <c r="J52" s="2"/>
      <c r="K52" s="2"/>
      <c r="L52" s="2"/>
      <c r="M52" s="2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3" t="str">
        <f t="shared" si="1"/>
        <v/>
      </c>
      <c r="G53" s="30"/>
      <c r="H53" s="2"/>
      <c r="I53" s="2"/>
      <c r="J53" s="2"/>
      <c r="K53" s="2"/>
      <c r="L53" s="2"/>
      <c r="M53" s="2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3" t="str">
        <f t="shared" si="1"/>
        <v/>
      </c>
      <c r="G54" s="30"/>
      <c r="H54" s="2"/>
      <c r="I54" s="2"/>
      <c r="J54" s="2"/>
      <c r="K54" s="2"/>
      <c r="L54" s="2"/>
      <c r="M54" s="2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3" t="str">
        <f t="shared" si="1"/>
        <v/>
      </c>
      <c r="G55" s="30"/>
      <c r="H55" s="2"/>
      <c r="I55" s="2"/>
      <c r="J55" s="2"/>
      <c r="K55" s="2"/>
      <c r="L55" s="2"/>
      <c r="M55" s="2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3" t="str">
        <f t="shared" si="1"/>
        <v/>
      </c>
      <c r="G56" s="30"/>
      <c r="H56" s="2"/>
      <c r="I56" s="2"/>
      <c r="J56" s="2"/>
      <c r="K56" s="2"/>
      <c r="L56" s="2"/>
      <c r="M56" s="2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3" t="str">
        <f t="shared" si="1"/>
        <v/>
      </c>
      <c r="G57" s="30"/>
      <c r="H57" s="2"/>
      <c r="I57" s="2"/>
      <c r="J57" s="2"/>
      <c r="K57" s="2"/>
      <c r="L57" s="2"/>
      <c r="M57" s="2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3" t="str">
        <f t="shared" si="1"/>
        <v/>
      </c>
      <c r="G58" s="30"/>
      <c r="H58" s="2"/>
      <c r="I58" s="2"/>
      <c r="J58" s="2"/>
      <c r="K58" s="2"/>
      <c r="L58" s="2"/>
      <c r="M58" s="2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3" t="str">
        <f t="shared" si="1"/>
        <v/>
      </c>
      <c r="G59" s="30"/>
      <c r="H59" s="2"/>
      <c r="I59" s="2"/>
      <c r="J59" s="2"/>
      <c r="K59" s="2"/>
      <c r="L59" s="2"/>
      <c r="M59" s="2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3" t="str">
        <f t="shared" si="1"/>
        <v/>
      </c>
      <c r="G60" s="30"/>
      <c r="H60" s="2"/>
      <c r="I60" s="2"/>
      <c r="J60" s="2"/>
      <c r="K60" s="2"/>
      <c r="L60" s="2"/>
      <c r="M60" s="2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3" t="str">
        <f t="shared" si="1"/>
        <v/>
      </c>
      <c r="G61" s="30"/>
      <c r="H61" s="2"/>
      <c r="I61" s="2"/>
      <c r="J61" s="2"/>
      <c r="K61" s="2"/>
      <c r="L61" s="2"/>
      <c r="M61" s="2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3" t="str">
        <f t="shared" si="1"/>
        <v/>
      </c>
      <c r="G62" s="30"/>
      <c r="H62" s="2"/>
      <c r="I62" s="2"/>
      <c r="J62" s="2"/>
      <c r="K62" s="2"/>
      <c r="L62" s="2"/>
      <c r="M62" s="2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3" t="str">
        <f t="shared" si="1"/>
        <v/>
      </c>
      <c r="G63" s="30"/>
      <c r="H63" s="2"/>
      <c r="I63" s="2"/>
      <c r="J63" s="2"/>
      <c r="K63" s="2"/>
      <c r="L63" s="2"/>
      <c r="M63" s="2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3" t="str">
        <f t="shared" si="1"/>
        <v/>
      </c>
      <c r="G64" s="30"/>
      <c r="H64" s="2"/>
      <c r="I64" s="2"/>
      <c r="J64" s="2"/>
      <c r="K64" s="2"/>
      <c r="L64" s="2"/>
      <c r="M64" s="2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3" t="str">
        <f t="shared" si="1"/>
        <v/>
      </c>
      <c r="G65" s="30"/>
      <c r="H65" s="2"/>
      <c r="I65" s="2"/>
      <c r="J65" s="2"/>
      <c r="K65" s="2"/>
      <c r="L65" s="2"/>
      <c r="M65" s="2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3" t="str">
        <f t="shared" ref="F66:F97" si="2">IF(OR(D66="",E66="",E66=0),"",D66/E66)</f>
        <v/>
      </c>
      <c r="G66" s="30"/>
      <c r="H66" s="2"/>
      <c r="I66" s="2"/>
      <c r="J66" s="2"/>
      <c r="K66" s="2"/>
      <c r="L66" s="2"/>
      <c r="M66" s="2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3" t="str">
        <f t="shared" si="2"/>
        <v/>
      </c>
      <c r="G67" s="30"/>
      <c r="H67" s="2"/>
      <c r="I67" s="2"/>
      <c r="J67" s="2"/>
      <c r="K67" s="2"/>
      <c r="L67" s="2"/>
      <c r="M67" s="2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3" t="str">
        <f t="shared" si="2"/>
        <v/>
      </c>
      <c r="G68" s="30"/>
      <c r="H68" s="2"/>
      <c r="I68" s="2"/>
      <c r="J68" s="2"/>
      <c r="K68" s="2"/>
      <c r="L68" s="2"/>
      <c r="M68" s="2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3" t="str">
        <f t="shared" si="2"/>
        <v/>
      </c>
      <c r="G69" s="30"/>
      <c r="H69" s="2"/>
      <c r="I69" s="2"/>
      <c r="J69" s="2"/>
      <c r="K69" s="2"/>
      <c r="L69" s="2"/>
      <c r="M69" s="2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3" t="str">
        <f t="shared" si="2"/>
        <v/>
      </c>
      <c r="G70" s="30"/>
      <c r="H70" s="2"/>
      <c r="I70" s="2"/>
      <c r="J70" s="2"/>
      <c r="K70" s="2"/>
      <c r="L70" s="2"/>
      <c r="M70" s="2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3" t="str">
        <f t="shared" si="2"/>
        <v/>
      </c>
      <c r="G71" s="30"/>
      <c r="H71" s="2"/>
      <c r="I71" s="2"/>
      <c r="J71" s="2"/>
      <c r="K71" s="2"/>
      <c r="L71" s="2"/>
      <c r="M71" s="2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3" t="str">
        <f t="shared" si="2"/>
        <v/>
      </c>
      <c r="G72" s="30"/>
      <c r="H72" s="2"/>
      <c r="I72" s="2"/>
      <c r="J72" s="2"/>
      <c r="K72" s="2"/>
      <c r="L72" s="2"/>
      <c r="M72" s="2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3" t="str">
        <f t="shared" si="2"/>
        <v/>
      </c>
      <c r="G73" s="30"/>
      <c r="H73" s="2"/>
      <c r="I73" s="2"/>
      <c r="J73" s="2"/>
      <c r="K73" s="2"/>
      <c r="L73" s="2"/>
      <c r="M73" s="2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3" t="str">
        <f t="shared" si="2"/>
        <v/>
      </c>
      <c r="G74" s="30"/>
      <c r="H74" s="2"/>
      <c r="I74" s="2"/>
      <c r="J74" s="2"/>
      <c r="K74" s="2"/>
      <c r="L74" s="2"/>
      <c r="M74" s="2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3" t="str">
        <f t="shared" si="2"/>
        <v/>
      </c>
      <c r="G75" s="30"/>
      <c r="H75" s="2"/>
      <c r="I75" s="2"/>
      <c r="J75" s="2"/>
      <c r="K75" s="2"/>
      <c r="L75" s="2"/>
      <c r="M75" s="2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3" t="str">
        <f t="shared" si="2"/>
        <v/>
      </c>
      <c r="G76" s="30"/>
      <c r="H76" s="2"/>
      <c r="I76" s="2"/>
      <c r="J76" s="2"/>
      <c r="K76" s="2"/>
      <c r="L76" s="2"/>
      <c r="M76" s="2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3" t="str">
        <f t="shared" si="2"/>
        <v/>
      </c>
      <c r="G77" s="30"/>
      <c r="H77" s="2"/>
      <c r="I77" s="2"/>
      <c r="J77" s="2"/>
      <c r="K77" s="2"/>
      <c r="L77" s="2"/>
      <c r="M77" s="2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3" t="str">
        <f t="shared" si="2"/>
        <v/>
      </c>
      <c r="G78" s="30"/>
      <c r="H78" s="2"/>
      <c r="I78" s="2"/>
      <c r="J78" s="2"/>
      <c r="K78" s="2"/>
      <c r="L78" s="2"/>
      <c r="M78" s="2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3" t="str">
        <f t="shared" si="2"/>
        <v/>
      </c>
      <c r="G79" s="30"/>
      <c r="H79" s="2"/>
      <c r="I79" s="2"/>
      <c r="J79" s="2"/>
      <c r="K79" s="2"/>
      <c r="L79" s="2"/>
      <c r="M79" s="2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3" t="str">
        <f t="shared" si="2"/>
        <v/>
      </c>
      <c r="G80" s="30"/>
      <c r="H80" s="2"/>
      <c r="I80" s="2"/>
      <c r="J80" s="2"/>
      <c r="K80" s="2"/>
      <c r="L80" s="2"/>
      <c r="M80" s="2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3" t="str">
        <f t="shared" si="2"/>
        <v/>
      </c>
      <c r="G81" s="30"/>
      <c r="H81" s="2"/>
      <c r="I81" s="2"/>
      <c r="J81" s="2"/>
      <c r="K81" s="2"/>
      <c r="L81" s="2"/>
      <c r="M81" s="2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3" t="str">
        <f t="shared" si="2"/>
        <v/>
      </c>
      <c r="G82" s="30"/>
      <c r="H82" s="2"/>
      <c r="I82" s="2"/>
      <c r="J82" s="2"/>
      <c r="K82" s="2"/>
      <c r="L82" s="2"/>
      <c r="M82" s="2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3" t="str">
        <f t="shared" si="2"/>
        <v/>
      </c>
      <c r="G83" s="30"/>
      <c r="H83" s="2"/>
      <c r="I83" s="2"/>
      <c r="J83" s="2"/>
      <c r="K83" s="2"/>
      <c r="L83" s="2"/>
      <c r="M83" s="2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3" t="str">
        <f t="shared" si="2"/>
        <v/>
      </c>
      <c r="G84" s="30"/>
      <c r="H84" s="2"/>
      <c r="I84" s="2"/>
      <c r="J84" s="2"/>
      <c r="K84" s="2"/>
      <c r="L84" s="2"/>
      <c r="M84" s="2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3" t="str">
        <f t="shared" si="2"/>
        <v/>
      </c>
      <c r="G85" s="30"/>
      <c r="H85" s="2"/>
      <c r="I85" s="2"/>
      <c r="J85" s="2"/>
      <c r="K85" s="2"/>
      <c r="L85" s="2"/>
      <c r="M85" s="2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3" t="str">
        <f t="shared" si="2"/>
        <v/>
      </c>
      <c r="G86" s="30"/>
      <c r="H86" s="2"/>
      <c r="I86" s="2"/>
      <c r="J86" s="2"/>
      <c r="K86" s="2"/>
      <c r="L86" s="2"/>
      <c r="M86" s="2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3" t="str">
        <f t="shared" si="2"/>
        <v/>
      </c>
      <c r="G87" s="30"/>
      <c r="H87" s="2"/>
      <c r="I87" s="2"/>
      <c r="J87" s="2"/>
      <c r="K87" s="2"/>
      <c r="L87" s="2"/>
      <c r="M87" s="2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3" t="str">
        <f t="shared" si="2"/>
        <v/>
      </c>
      <c r="G88" s="30"/>
      <c r="H88" s="2"/>
      <c r="I88" s="2"/>
      <c r="J88" s="2"/>
      <c r="K88" s="2"/>
      <c r="L88" s="2"/>
      <c r="M88" s="2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3" t="str">
        <f t="shared" si="2"/>
        <v/>
      </c>
      <c r="G89" s="30"/>
      <c r="H89" s="2"/>
      <c r="I89" s="2"/>
      <c r="J89" s="2"/>
      <c r="K89" s="2"/>
      <c r="L89" s="2"/>
      <c r="M89" s="2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3" t="str">
        <f t="shared" si="2"/>
        <v/>
      </c>
      <c r="G90" s="30"/>
      <c r="H90" s="2"/>
      <c r="I90" s="2"/>
      <c r="J90" s="2"/>
      <c r="K90" s="2"/>
      <c r="L90" s="2"/>
      <c r="M90" s="2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3" t="str">
        <f t="shared" si="2"/>
        <v/>
      </c>
      <c r="G91" s="30"/>
      <c r="H91" s="2"/>
      <c r="I91" s="2"/>
      <c r="J91" s="2"/>
      <c r="K91" s="2"/>
      <c r="L91" s="2"/>
      <c r="M91" s="2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3" t="str">
        <f t="shared" si="2"/>
        <v/>
      </c>
      <c r="G92" s="30"/>
      <c r="H92" s="2"/>
      <c r="I92" s="2"/>
      <c r="J92" s="2"/>
      <c r="K92" s="2"/>
      <c r="L92" s="2"/>
      <c r="M92" s="2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3" t="str">
        <f t="shared" si="2"/>
        <v/>
      </c>
      <c r="G93" s="30"/>
      <c r="H93" s="2"/>
      <c r="I93" s="2"/>
      <c r="J93" s="2"/>
      <c r="K93" s="2"/>
      <c r="L93" s="2"/>
      <c r="M93" s="2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3" t="str">
        <f t="shared" si="2"/>
        <v/>
      </c>
      <c r="G94" s="30"/>
      <c r="H94" s="2"/>
      <c r="I94" s="2"/>
      <c r="J94" s="2"/>
      <c r="K94" s="2"/>
      <c r="L94" s="2"/>
      <c r="M94" s="2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3" t="str">
        <f t="shared" si="2"/>
        <v/>
      </c>
      <c r="G95" s="30"/>
      <c r="H95" s="2"/>
      <c r="I95" s="2"/>
      <c r="J95" s="2"/>
      <c r="K95" s="2"/>
      <c r="L95" s="2"/>
      <c r="M95" s="2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3" t="str">
        <f t="shared" si="2"/>
        <v/>
      </c>
      <c r="G96" s="30"/>
      <c r="H96" s="2"/>
      <c r="I96" s="2"/>
      <c r="J96" s="2"/>
      <c r="K96" s="2"/>
      <c r="L96" s="2"/>
      <c r="M96" s="2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3" t="str">
        <f t="shared" si="2"/>
        <v/>
      </c>
      <c r="G97" s="30"/>
      <c r="H97" s="2"/>
      <c r="I97" s="2"/>
      <c r="J97" s="2"/>
      <c r="K97" s="2"/>
      <c r="L97" s="2"/>
      <c r="M97" s="2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3" t="str">
        <f t="shared" ref="F98:F121" si="3">IF(OR(D98="",E98="",E98=0),"",D98/E98)</f>
        <v/>
      </c>
      <c r="G98" s="30"/>
      <c r="H98" s="2"/>
      <c r="I98" s="2"/>
      <c r="J98" s="2"/>
      <c r="K98" s="2"/>
      <c r="L98" s="2"/>
      <c r="M98" s="2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3" t="str">
        <f t="shared" si="3"/>
        <v/>
      </c>
      <c r="G99" s="30"/>
      <c r="H99" s="2"/>
      <c r="I99" s="2"/>
      <c r="J99" s="2"/>
      <c r="K99" s="2"/>
      <c r="L99" s="2"/>
      <c r="M99" s="2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3" t="str">
        <f t="shared" si="3"/>
        <v/>
      </c>
      <c r="G100" s="30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3" t="str">
        <f t="shared" si="3"/>
        <v/>
      </c>
      <c r="G101" s="30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3" t="str">
        <f t="shared" si="3"/>
        <v/>
      </c>
      <c r="G102" s="30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3" t="str">
        <f t="shared" si="3"/>
        <v/>
      </c>
      <c r="G103" s="30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3" t="str">
        <f t="shared" si="3"/>
        <v/>
      </c>
      <c r="G104" s="30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3" t="str">
        <f t="shared" si="3"/>
        <v/>
      </c>
      <c r="G105" s="30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3" t="str">
        <f t="shared" si="3"/>
        <v/>
      </c>
      <c r="G106" s="30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3" t="str">
        <f t="shared" si="3"/>
        <v/>
      </c>
      <c r="G107" s="30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3" t="str">
        <f t="shared" si="3"/>
        <v/>
      </c>
      <c r="G108" s="30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3" t="str">
        <f t="shared" si="3"/>
        <v/>
      </c>
      <c r="G109" s="30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3" t="str">
        <f t="shared" si="3"/>
        <v/>
      </c>
      <c r="G110" s="30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3" t="str">
        <f t="shared" si="3"/>
        <v/>
      </c>
      <c r="G111" s="30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3" t="str">
        <f t="shared" si="3"/>
        <v/>
      </c>
      <c r="G112" s="30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3" t="str">
        <f t="shared" si="3"/>
        <v/>
      </c>
      <c r="G113" s="30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3" t="str">
        <f t="shared" si="3"/>
        <v/>
      </c>
      <c r="G114" s="30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3" t="str">
        <f t="shared" si="3"/>
        <v/>
      </c>
      <c r="G115" s="30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3" t="str">
        <f t="shared" si="3"/>
        <v/>
      </c>
      <c r="G116" s="30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3" t="str">
        <f t="shared" si="3"/>
        <v/>
      </c>
      <c r="G117" s="30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3" t="str">
        <f t="shared" si="3"/>
        <v/>
      </c>
      <c r="G118" s="30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3" t="str">
        <f t="shared" si="3"/>
        <v/>
      </c>
      <c r="G119" s="30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3" t="str">
        <f t="shared" si="3"/>
        <v/>
      </c>
      <c r="G120" s="30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3" t="str">
        <f t="shared" si="3"/>
        <v/>
      </c>
      <c r="G121" s="30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G121">
    <cfRule type="expression" dxfId="8" priority="1">
      <formula>MOD(ROW(),2)=0</formula>
    </cfRule>
  </conditionalFormatting>
  <hyperlinks>
    <hyperlink ref="X1" location="'Cover'!A1" display="Cover" xr:uid="{00000000-0004-0000-1200-000000000000}"/>
    <hyperlink ref="Y1" location="'Index'!A1" display="Index" xr:uid="{00000000-0004-0000-1200-000001000000}"/>
    <hyperlink ref="Z1" location="'Executive Dashboard'!A1" display="Dashboard" xr:uid="{00000000-0004-0000-1200-000002000000}"/>
    <hyperlink ref="AA1" location="'Live KPI Overview'!A1" display="Analytics" xr:uid="{00000000-0004-0000-12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50"/>
  <sheetViews>
    <sheetView showGridLines="0" workbookViewId="0">
      <pane ySplit="1" topLeftCell="A104" activePane="bottomLeft" state="frozen"/>
      <selection pane="bottomLeft" sqref="A1:H121"/>
    </sheetView>
  </sheetViews>
  <sheetFormatPr defaultRowHeight="13.8"/>
  <cols>
    <col min="1" max="1" width="17" customWidth="1"/>
    <col min="2" max="3" width="18.296875" customWidth="1"/>
    <col min="4" max="6" width="17" customWidth="1"/>
    <col min="7" max="7" width="21.09765625" customWidth="1"/>
    <col min="8" max="8" width="17" customWidth="1"/>
    <col min="9" max="21" width="19" customWidth="1"/>
    <col min="24" max="27" width="13" customWidth="1"/>
  </cols>
  <sheetData>
    <row r="1" spans="1:27" ht="34.950000000000003" customHeight="1">
      <c r="A1" s="29" t="s">
        <v>234</v>
      </c>
      <c r="B1" s="29" t="s">
        <v>235</v>
      </c>
      <c r="C1" s="29" t="s">
        <v>236</v>
      </c>
      <c r="D1" s="29" t="s">
        <v>237</v>
      </c>
      <c r="E1" s="29" t="s">
        <v>194</v>
      </c>
      <c r="F1" s="29" t="s">
        <v>238</v>
      </c>
      <c r="G1" s="29" t="s">
        <v>239</v>
      </c>
      <c r="H1" s="29" t="s">
        <v>240</v>
      </c>
      <c r="I1" s="4"/>
      <c r="J1" s="4"/>
      <c r="K1" s="4"/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/>
      <c r="B2" s="30"/>
      <c r="C2" s="30"/>
      <c r="D2" s="30"/>
      <c r="E2" s="30"/>
      <c r="F2" s="30"/>
      <c r="G2" s="30"/>
      <c r="H2" s="30"/>
      <c r="I2" s="7"/>
      <c r="J2" s="7"/>
      <c r="K2" s="7"/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/>
      <c r="B3" s="30"/>
      <c r="C3" s="30"/>
      <c r="D3" s="30"/>
      <c r="E3" s="30"/>
      <c r="F3" s="30"/>
      <c r="G3" s="30"/>
      <c r="H3" s="30"/>
      <c r="I3" s="2"/>
      <c r="J3" s="2"/>
      <c r="K3" s="2"/>
      <c r="L3" s="2"/>
      <c r="M3" s="2"/>
      <c r="N3" s="2"/>
      <c r="O3" s="2"/>
      <c r="P3" s="2"/>
    </row>
    <row r="4" spans="1:27" ht="22.95" customHeight="1">
      <c r="A4" s="30"/>
      <c r="B4" s="30"/>
      <c r="C4" s="30"/>
      <c r="D4" s="30"/>
      <c r="E4" s="30"/>
      <c r="F4" s="30"/>
      <c r="G4" s="30"/>
      <c r="H4" s="30"/>
      <c r="I4" s="2"/>
      <c r="J4" s="2"/>
      <c r="K4" s="2"/>
      <c r="L4" s="2"/>
      <c r="M4" s="2"/>
      <c r="N4" s="2"/>
      <c r="O4" s="2"/>
      <c r="P4" s="2"/>
    </row>
    <row r="5" spans="1:27" ht="22.95" customHeight="1">
      <c r="A5" s="30"/>
      <c r="B5" s="30"/>
      <c r="C5" s="30"/>
      <c r="D5" s="30"/>
      <c r="E5" s="30"/>
      <c r="F5" s="30"/>
      <c r="G5" s="30"/>
      <c r="H5" s="30"/>
      <c r="I5" s="2"/>
      <c r="J5" s="2"/>
      <c r="K5" s="2"/>
      <c r="L5" s="2"/>
      <c r="M5" s="2"/>
      <c r="N5" s="2"/>
      <c r="O5" s="2"/>
      <c r="P5" s="2"/>
    </row>
    <row r="6" spans="1:27" ht="22.95" customHeight="1">
      <c r="A6" s="30"/>
      <c r="B6" s="30"/>
      <c r="C6" s="30"/>
      <c r="D6" s="30"/>
      <c r="E6" s="30"/>
      <c r="F6" s="30"/>
      <c r="G6" s="30"/>
      <c r="H6" s="30"/>
      <c r="I6" s="2"/>
      <c r="J6" s="2"/>
      <c r="K6" s="2"/>
      <c r="L6" s="2"/>
      <c r="M6" s="2"/>
      <c r="N6" s="2"/>
      <c r="O6" s="2"/>
      <c r="P6" s="2"/>
    </row>
    <row r="7" spans="1:27" ht="22.95" customHeight="1">
      <c r="A7" s="30"/>
      <c r="B7" s="30"/>
      <c r="C7" s="30"/>
      <c r="D7" s="30"/>
      <c r="E7" s="30"/>
      <c r="F7" s="30"/>
      <c r="G7" s="30"/>
      <c r="H7" s="30"/>
      <c r="I7" s="2"/>
      <c r="J7" s="2"/>
      <c r="K7" s="2"/>
      <c r="L7" s="2"/>
      <c r="M7" s="2"/>
      <c r="N7" s="2"/>
      <c r="O7" s="2"/>
      <c r="P7" s="2"/>
    </row>
    <row r="8" spans="1:27" ht="22.95" customHeight="1">
      <c r="A8" s="30"/>
      <c r="B8" s="30"/>
      <c r="C8" s="30"/>
      <c r="D8" s="30"/>
      <c r="E8" s="30"/>
      <c r="F8" s="30"/>
      <c r="G8" s="30"/>
      <c r="H8" s="30"/>
      <c r="I8" s="2"/>
      <c r="J8" s="2"/>
      <c r="K8" s="2"/>
      <c r="L8" s="2"/>
      <c r="M8" s="2"/>
      <c r="N8" s="2"/>
      <c r="O8" s="2"/>
      <c r="P8" s="2"/>
    </row>
    <row r="9" spans="1:27" ht="22.95" customHeight="1">
      <c r="A9" s="30"/>
      <c r="B9" s="30"/>
      <c r="C9" s="30"/>
      <c r="D9" s="30"/>
      <c r="E9" s="30"/>
      <c r="F9" s="30"/>
      <c r="G9" s="30"/>
      <c r="H9" s="30"/>
      <c r="I9" s="2"/>
      <c r="J9" s="2"/>
      <c r="K9" s="2"/>
      <c r="L9" s="2"/>
      <c r="M9" s="2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0"/>
      <c r="G10" s="30"/>
      <c r="H10" s="30"/>
      <c r="I10" s="2"/>
      <c r="J10" s="2"/>
      <c r="K10" s="2"/>
      <c r="L10" s="2"/>
      <c r="M10" s="2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0"/>
      <c r="G11" s="30"/>
      <c r="H11" s="30"/>
      <c r="I11" s="2"/>
      <c r="J11" s="2"/>
      <c r="K11" s="2"/>
      <c r="L11" s="2"/>
      <c r="M11" s="2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0"/>
      <c r="G12" s="30"/>
      <c r="H12" s="30"/>
      <c r="I12" s="2"/>
      <c r="J12" s="2"/>
      <c r="K12" s="2"/>
      <c r="L12" s="2"/>
      <c r="M12" s="2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0"/>
      <c r="G13" s="30"/>
      <c r="H13" s="30"/>
      <c r="I13" s="2"/>
      <c r="J13" s="2"/>
      <c r="K13" s="2"/>
      <c r="L13" s="2"/>
      <c r="M13" s="2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0"/>
      <c r="G14" s="30"/>
      <c r="H14" s="30"/>
      <c r="I14" s="2"/>
      <c r="J14" s="2"/>
      <c r="K14" s="2"/>
      <c r="L14" s="2"/>
      <c r="M14" s="2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0"/>
      <c r="G15" s="30"/>
      <c r="H15" s="30"/>
      <c r="I15" s="2"/>
      <c r="J15" s="2"/>
      <c r="K15" s="2"/>
      <c r="L15" s="2"/>
      <c r="M15" s="2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0"/>
      <c r="G16" s="30"/>
      <c r="H16" s="30"/>
      <c r="I16" s="2"/>
      <c r="J16" s="2"/>
      <c r="K16" s="2"/>
      <c r="L16" s="2"/>
      <c r="M16" s="2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0"/>
      <c r="G17" s="30"/>
      <c r="H17" s="30"/>
      <c r="I17" s="2"/>
      <c r="J17" s="2"/>
      <c r="K17" s="2"/>
      <c r="L17" s="2"/>
      <c r="M17" s="2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0"/>
      <c r="G18" s="30"/>
      <c r="H18" s="30"/>
      <c r="I18" s="2"/>
      <c r="J18" s="2"/>
      <c r="K18" s="2"/>
      <c r="L18" s="2"/>
      <c r="M18" s="2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0"/>
      <c r="G19" s="30"/>
      <c r="H19" s="30"/>
      <c r="I19" s="2"/>
      <c r="J19" s="2"/>
      <c r="K19" s="2"/>
      <c r="L19" s="2"/>
      <c r="M19" s="2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0"/>
      <c r="G20" s="30"/>
      <c r="H20" s="30"/>
      <c r="I20" s="2"/>
      <c r="J20" s="2"/>
      <c r="K20" s="2"/>
      <c r="L20" s="2"/>
      <c r="M20" s="2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0"/>
      <c r="G21" s="30"/>
      <c r="H21" s="30"/>
      <c r="I21" s="2"/>
      <c r="J21" s="2"/>
      <c r="K21" s="2"/>
      <c r="L21" s="2"/>
      <c r="M21" s="2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0"/>
      <c r="G22" s="30"/>
      <c r="H22" s="30"/>
      <c r="I22" s="2"/>
      <c r="J22" s="2"/>
      <c r="K22" s="2"/>
      <c r="L22" s="2"/>
      <c r="M22" s="2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0"/>
      <c r="G23" s="30"/>
      <c r="H23" s="30"/>
      <c r="I23" s="2"/>
      <c r="J23" s="2"/>
      <c r="K23" s="2"/>
      <c r="L23" s="2"/>
      <c r="M23" s="2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0"/>
      <c r="G24" s="30"/>
      <c r="H24" s="30"/>
      <c r="I24" s="2"/>
      <c r="J24" s="2"/>
      <c r="K24" s="2"/>
      <c r="L24" s="2"/>
      <c r="M24" s="2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0"/>
      <c r="G25" s="30"/>
      <c r="H25" s="30"/>
      <c r="I25" s="2"/>
      <c r="J25" s="2"/>
      <c r="K25" s="2"/>
      <c r="L25" s="2"/>
      <c r="M25" s="2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0"/>
      <c r="G26" s="30"/>
      <c r="H26" s="30"/>
      <c r="I26" s="2"/>
      <c r="J26" s="2"/>
      <c r="K26" s="2"/>
      <c r="L26" s="2"/>
      <c r="M26" s="2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0"/>
      <c r="G27" s="30"/>
      <c r="H27" s="30"/>
      <c r="I27" s="2"/>
      <c r="J27" s="2"/>
      <c r="K27" s="2"/>
      <c r="L27" s="2"/>
      <c r="M27" s="2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0"/>
      <c r="G28" s="30"/>
      <c r="H28" s="30"/>
      <c r="I28" s="2"/>
      <c r="J28" s="2"/>
      <c r="K28" s="2"/>
      <c r="L28" s="2"/>
      <c r="M28" s="2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0"/>
      <c r="G29" s="30"/>
      <c r="H29" s="30"/>
      <c r="I29" s="2"/>
      <c r="J29" s="2"/>
      <c r="K29" s="2"/>
      <c r="L29" s="2"/>
      <c r="M29" s="2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0"/>
      <c r="G30" s="30"/>
      <c r="H30" s="30"/>
      <c r="I30" s="2"/>
      <c r="J30" s="2"/>
      <c r="K30" s="2"/>
      <c r="L30" s="2"/>
      <c r="M30" s="2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0"/>
      <c r="G31" s="30"/>
      <c r="H31" s="30"/>
      <c r="I31" s="2"/>
      <c r="J31" s="2"/>
      <c r="K31" s="2"/>
      <c r="L31" s="2"/>
      <c r="M31" s="2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0"/>
      <c r="G32" s="30"/>
      <c r="H32" s="30"/>
      <c r="I32" s="2"/>
      <c r="J32" s="2"/>
      <c r="K32" s="2"/>
      <c r="L32" s="2"/>
      <c r="M32" s="2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0"/>
      <c r="G33" s="30"/>
      <c r="H33" s="30"/>
      <c r="I33" s="2"/>
      <c r="J33" s="2"/>
      <c r="K33" s="2"/>
      <c r="L33" s="2"/>
      <c r="M33" s="2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0"/>
      <c r="G34" s="30"/>
      <c r="H34" s="30"/>
      <c r="I34" s="2"/>
      <c r="J34" s="2"/>
      <c r="K34" s="2"/>
      <c r="L34" s="2"/>
      <c r="M34" s="2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0"/>
      <c r="G35" s="30"/>
      <c r="H35" s="30"/>
      <c r="I35" s="2"/>
      <c r="J35" s="2"/>
      <c r="K35" s="2"/>
      <c r="L35" s="2"/>
      <c r="M35" s="2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0"/>
      <c r="G36" s="30"/>
      <c r="H36" s="30"/>
      <c r="I36" s="2"/>
      <c r="J36" s="2"/>
      <c r="K36" s="2"/>
      <c r="L36" s="2"/>
      <c r="M36" s="2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0"/>
      <c r="G37" s="30"/>
      <c r="H37" s="30"/>
      <c r="I37" s="2"/>
      <c r="J37" s="2"/>
      <c r="K37" s="2"/>
      <c r="L37" s="2"/>
      <c r="M37" s="2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0"/>
      <c r="G38" s="30"/>
      <c r="H38" s="30"/>
      <c r="I38" s="2"/>
      <c r="J38" s="2"/>
      <c r="K38" s="2"/>
      <c r="L38" s="2"/>
      <c r="M38" s="2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0"/>
      <c r="G39" s="30"/>
      <c r="H39" s="30"/>
      <c r="I39" s="2"/>
      <c r="J39" s="2"/>
      <c r="K39" s="2"/>
      <c r="L39" s="2"/>
      <c r="M39" s="2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0"/>
      <c r="G40" s="30"/>
      <c r="H40" s="30"/>
      <c r="I40" s="2"/>
      <c r="J40" s="2"/>
      <c r="K40" s="2"/>
      <c r="L40" s="2"/>
      <c r="M40" s="2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0"/>
      <c r="G41" s="30"/>
      <c r="H41" s="30"/>
      <c r="I41" s="2"/>
      <c r="J41" s="2"/>
      <c r="K41" s="2"/>
      <c r="L41" s="2"/>
      <c r="M41" s="2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0"/>
      <c r="G42" s="30"/>
      <c r="H42" s="30"/>
      <c r="I42" s="2"/>
      <c r="J42" s="2"/>
      <c r="K42" s="2"/>
      <c r="L42" s="2"/>
      <c r="M42" s="2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0"/>
      <c r="G43" s="30"/>
      <c r="H43" s="30"/>
      <c r="I43" s="2"/>
      <c r="J43" s="2"/>
      <c r="K43" s="2"/>
      <c r="L43" s="2"/>
      <c r="M43" s="2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0"/>
      <c r="G44" s="30"/>
      <c r="H44" s="30"/>
      <c r="I44" s="2"/>
      <c r="J44" s="2"/>
      <c r="K44" s="2"/>
      <c r="L44" s="2"/>
      <c r="M44" s="2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0"/>
      <c r="G45" s="30"/>
      <c r="H45" s="30"/>
      <c r="I45" s="2"/>
      <c r="J45" s="2"/>
      <c r="K45" s="2"/>
      <c r="L45" s="2"/>
      <c r="M45" s="2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0"/>
      <c r="G46" s="30"/>
      <c r="H46" s="30"/>
      <c r="I46" s="2"/>
      <c r="J46" s="2"/>
      <c r="K46" s="2"/>
      <c r="L46" s="2"/>
      <c r="M46" s="2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0"/>
      <c r="G47" s="30"/>
      <c r="H47" s="30"/>
      <c r="I47" s="2"/>
      <c r="J47" s="2"/>
      <c r="K47" s="2"/>
      <c r="L47" s="2"/>
      <c r="M47" s="2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0"/>
      <c r="G48" s="30"/>
      <c r="H48" s="30"/>
      <c r="I48" s="2"/>
      <c r="J48" s="2"/>
      <c r="K48" s="2"/>
      <c r="L48" s="2"/>
      <c r="M48" s="2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0"/>
      <c r="G49" s="30"/>
      <c r="H49" s="30"/>
      <c r="I49" s="2"/>
      <c r="J49" s="2"/>
      <c r="K49" s="2"/>
      <c r="L49" s="2"/>
      <c r="M49" s="2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0"/>
      <c r="G50" s="30"/>
      <c r="H50" s="30"/>
      <c r="I50" s="2"/>
      <c r="J50" s="2"/>
      <c r="K50" s="2"/>
      <c r="L50" s="2"/>
      <c r="M50" s="2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0"/>
      <c r="G51" s="30"/>
      <c r="H51" s="30"/>
      <c r="I51" s="2"/>
      <c r="J51" s="2"/>
      <c r="K51" s="2"/>
      <c r="L51" s="2"/>
      <c r="M51" s="2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0"/>
      <c r="G52" s="30"/>
      <c r="H52" s="30"/>
      <c r="I52" s="2"/>
      <c r="J52" s="2"/>
      <c r="K52" s="2"/>
      <c r="L52" s="2"/>
      <c r="M52" s="2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0"/>
      <c r="G53" s="30"/>
      <c r="H53" s="30"/>
      <c r="I53" s="2"/>
      <c r="J53" s="2"/>
      <c r="K53" s="2"/>
      <c r="L53" s="2"/>
      <c r="M53" s="2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0"/>
      <c r="G54" s="30"/>
      <c r="H54" s="30"/>
      <c r="I54" s="2"/>
      <c r="J54" s="2"/>
      <c r="K54" s="2"/>
      <c r="L54" s="2"/>
      <c r="M54" s="2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0"/>
      <c r="G55" s="30"/>
      <c r="H55" s="30"/>
      <c r="I55" s="2"/>
      <c r="J55" s="2"/>
      <c r="K55" s="2"/>
      <c r="L55" s="2"/>
      <c r="M55" s="2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0"/>
      <c r="G56" s="30"/>
      <c r="H56" s="30"/>
      <c r="I56" s="2"/>
      <c r="J56" s="2"/>
      <c r="K56" s="2"/>
      <c r="L56" s="2"/>
      <c r="M56" s="2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0"/>
      <c r="G57" s="30"/>
      <c r="H57" s="30"/>
      <c r="I57" s="2"/>
      <c r="J57" s="2"/>
      <c r="K57" s="2"/>
      <c r="L57" s="2"/>
      <c r="M57" s="2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0"/>
      <c r="G58" s="30"/>
      <c r="H58" s="30"/>
      <c r="I58" s="2"/>
      <c r="J58" s="2"/>
      <c r="K58" s="2"/>
      <c r="L58" s="2"/>
      <c r="M58" s="2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0"/>
      <c r="G59" s="30"/>
      <c r="H59" s="30"/>
      <c r="I59" s="2"/>
      <c r="J59" s="2"/>
      <c r="K59" s="2"/>
      <c r="L59" s="2"/>
      <c r="M59" s="2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0"/>
      <c r="G60" s="30"/>
      <c r="H60" s="30"/>
      <c r="I60" s="2"/>
      <c r="J60" s="2"/>
      <c r="K60" s="2"/>
      <c r="L60" s="2"/>
      <c r="M60" s="2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0"/>
      <c r="G61" s="30"/>
      <c r="H61" s="30"/>
      <c r="I61" s="2"/>
      <c r="J61" s="2"/>
      <c r="K61" s="2"/>
      <c r="L61" s="2"/>
      <c r="M61" s="2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0"/>
      <c r="G62" s="30"/>
      <c r="H62" s="30"/>
      <c r="I62" s="2"/>
      <c r="J62" s="2"/>
      <c r="K62" s="2"/>
      <c r="L62" s="2"/>
      <c r="M62" s="2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0"/>
      <c r="G63" s="30"/>
      <c r="H63" s="30"/>
      <c r="I63" s="2"/>
      <c r="J63" s="2"/>
      <c r="K63" s="2"/>
      <c r="L63" s="2"/>
      <c r="M63" s="2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0"/>
      <c r="G64" s="30"/>
      <c r="H64" s="30"/>
      <c r="I64" s="2"/>
      <c r="J64" s="2"/>
      <c r="K64" s="2"/>
      <c r="L64" s="2"/>
      <c r="M64" s="2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0"/>
      <c r="G65" s="30"/>
      <c r="H65" s="30"/>
      <c r="I65" s="2"/>
      <c r="J65" s="2"/>
      <c r="K65" s="2"/>
      <c r="L65" s="2"/>
      <c r="M65" s="2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0"/>
      <c r="G66" s="30"/>
      <c r="H66" s="30"/>
      <c r="I66" s="2"/>
      <c r="J66" s="2"/>
      <c r="K66" s="2"/>
      <c r="L66" s="2"/>
      <c r="M66" s="2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0"/>
      <c r="G67" s="30"/>
      <c r="H67" s="30"/>
      <c r="I67" s="2"/>
      <c r="J67" s="2"/>
      <c r="K67" s="2"/>
      <c r="L67" s="2"/>
      <c r="M67" s="2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0"/>
      <c r="G68" s="30"/>
      <c r="H68" s="30"/>
      <c r="I68" s="2"/>
      <c r="J68" s="2"/>
      <c r="K68" s="2"/>
      <c r="L68" s="2"/>
      <c r="M68" s="2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0"/>
      <c r="G69" s="30"/>
      <c r="H69" s="30"/>
      <c r="I69" s="2"/>
      <c r="J69" s="2"/>
      <c r="K69" s="2"/>
      <c r="L69" s="2"/>
      <c r="M69" s="2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0"/>
      <c r="G70" s="30"/>
      <c r="H70" s="30"/>
      <c r="I70" s="2"/>
      <c r="J70" s="2"/>
      <c r="K70" s="2"/>
      <c r="L70" s="2"/>
      <c r="M70" s="2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0"/>
      <c r="G71" s="30"/>
      <c r="H71" s="30"/>
      <c r="I71" s="2"/>
      <c r="J71" s="2"/>
      <c r="K71" s="2"/>
      <c r="L71" s="2"/>
      <c r="M71" s="2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0"/>
      <c r="G72" s="30"/>
      <c r="H72" s="30"/>
      <c r="I72" s="2"/>
      <c r="J72" s="2"/>
      <c r="K72" s="2"/>
      <c r="L72" s="2"/>
      <c r="M72" s="2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0"/>
      <c r="G73" s="30"/>
      <c r="H73" s="30"/>
      <c r="I73" s="2"/>
      <c r="J73" s="2"/>
      <c r="K73" s="2"/>
      <c r="L73" s="2"/>
      <c r="M73" s="2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0"/>
      <c r="G74" s="30"/>
      <c r="H74" s="30"/>
      <c r="I74" s="2"/>
      <c r="J74" s="2"/>
      <c r="K74" s="2"/>
      <c r="L74" s="2"/>
      <c r="M74" s="2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0"/>
      <c r="G75" s="30"/>
      <c r="H75" s="30"/>
      <c r="I75" s="2"/>
      <c r="J75" s="2"/>
      <c r="K75" s="2"/>
      <c r="L75" s="2"/>
      <c r="M75" s="2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0"/>
      <c r="G76" s="30"/>
      <c r="H76" s="30"/>
      <c r="I76" s="2"/>
      <c r="J76" s="2"/>
      <c r="K76" s="2"/>
      <c r="L76" s="2"/>
      <c r="M76" s="2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0"/>
      <c r="G77" s="30"/>
      <c r="H77" s="30"/>
      <c r="I77" s="2"/>
      <c r="J77" s="2"/>
      <c r="K77" s="2"/>
      <c r="L77" s="2"/>
      <c r="M77" s="2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0"/>
      <c r="G78" s="30"/>
      <c r="H78" s="30"/>
      <c r="I78" s="2"/>
      <c r="J78" s="2"/>
      <c r="K78" s="2"/>
      <c r="L78" s="2"/>
      <c r="M78" s="2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0"/>
      <c r="G79" s="30"/>
      <c r="H79" s="30"/>
      <c r="I79" s="2"/>
      <c r="J79" s="2"/>
      <c r="K79" s="2"/>
      <c r="L79" s="2"/>
      <c r="M79" s="2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0"/>
      <c r="G80" s="30"/>
      <c r="H80" s="30"/>
      <c r="I80" s="2"/>
      <c r="J80" s="2"/>
      <c r="K80" s="2"/>
      <c r="L80" s="2"/>
      <c r="M80" s="2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0"/>
      <c r="G81" s="30"/>
      <c r="H81" s="30"/>
      <c r="I81" s="2"/>
      <c r="J81" s="2"/>
      <c r="K81" s="2"/>
      <c r="L81" s="2"/>
      <c r="M81" s="2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0"/>
      <c r="G82" s="30"/>
      <c r="H82" s="30"/>
      <c r="I82" s="2"/>
      <c r="J82" s="2"/>
      <c r="K82" s="2"/>
      <c r="L82" s="2"/>
      <c r="M82" s="2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0"/>
      <c r="G83" s="30"/>
      <c r="H83" s="30"/>
      <c r="I83" s="2"/>
      <c r="J83" s="2"/>
      <c r="K83" s="2"/>
      <c r="L83" s="2"/>
      <c r="M83" s="2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0"/>
      <c r="G84" s="30"/>
      <c r="H84" s="30"/>
      <c r="I84" s="2"/>
      <c r="J84" s="2"/>
      <c r="K84" s="2"/>
      <c r="L84" s="2"/>
      <c r="M84" s="2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0"/>
      <c r="G85" s="30"/>
      <c r="H85" s="30"/>
      <c r="I85" s="2"/>
      <c r="J85" s="2"/>
      <c r="K85" s="2"/>
      <c r="L85" s="2"/>
      <c r="M85" s="2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0"/>
      <c r="G86" s="30"/>
      <c r="H86" s="30"/>
      <c r="I86" s="2"/>
      <c r="J86" s="2"/>
      <c r="K86" s="2"/>
      <c r="L86" s="2"/>
      <c r="M86" s="2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0"/>
      <c r="G87" s="30"/>
      <c r="H87" s="30"/>
      <c r="I87" s="2"/>
      <c r="J87" s="2"/>
      <c r="K87" s="2"/>
      <c r="L87" s="2"/>
      <c r="M87" s="2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0"/>
      <c r="G88" s="30"/>
      <c r="H88" s="30"/>
      <c r="I88" s="2"/>
      <c r="J88" s="2"/>
      <c r="K88" s="2"/>
      <c r="L88" s="2"/>
      <c r="M88" s="2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0"/>
      <c r="G89" s="30"/>
      <c r="H89" s="30"/>
      <c r="I89" s="2"/>
      <c r="J89" s="2"/>
      <c r="K89" s="2"/>
      <c r="L89" s="2"/>
      <c r="M89" s="2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0"/>
      <c r="G90" s="30"/>
      <c r="H90" s="30"/>
      <c r="I90" s="2"/>
      <c r="J90" s="2"/>
      <c r="K90" s="2"/>
      <c r="L90" s="2"/>
      <c r="M90" s="2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0"/>
      <c r="G91" s="30"/>
      <c r="H91" s="30"/>
      <c r="I91" s="2"/>
      <c r="J91" s="2"/>
      <c r="K91" s="2"/>
      <c r="L91" s="2"/>
      <c r="M91" s="2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0"/>
      <c r="G92" s="30"/>
      <c r="H92" s="30"/>
      <c r="I92" s="2"/>
      <c r="J92" s="2"/>
      <c r="K92" s="2"/>
      <c r="L92" s="2"/>
      <c r="M92" s="2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0"/>
      <c r="G93" s="30"/>
      <c r="H93" s="30"/>
      <c r="I93" s="2"/>
      <c r="J93" s="2"/>
      <c r="K93" s="2"/>
      <c r="L93" s="2"/>
      <c r="M93" s="2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0"/>
      <c r="G94" s="30"/>
      <c r="H94" s="30"/>
      <c r="I94" s="2"/>
      <c r="J94" s="2"/>
      <c r="K94" s="2"/>
      <c r="L94" s="2"/>
      <c r="M94" s="2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0"/>
      <c r="G95" s="30"/>
      <c r="H95" s="30"/>
      <c r="I95" s="2"/>
      <c r="J95" s="2"/>
      <c r="K95" s="2"/>
      <c r="L95" s="2"/>
      <c r="M95" s="2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0"/>
      <c r="G96" s="30"/>
      <c r="H96" s="30"/>
      <c r="I96" s="2"/>
      <c r="J96" s="2"/>
      <c r="K96" s="2"/>
      <c r="L96" s="2"/>
      <c r="M96" s="2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0"/>
      <c r="G97" s="30"/>
      <c r="H97" s="30"/>
      <c r="I97" s="2"/>
      <c r="J97" s="2"/>
      <c r="K97" s="2"/>
      <c r="L97" s="2"/>
      <c r="M97" s="2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0"/>
      <c r="G98" s="30"/>
      <c r="H98" s="30"/>
      <c r="I98" s="2"/>
      <c r="J98" s="2"/>
      <c r="K98" s="2"/>
      <c r="L98" s="2"/>
      <c r="M98" s="2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0"/>
      <c r="G99" s="30"/>
      <c r="H99" s="30"/>
      <c r="I99" s="2"/>
      <c r="J99" s="2"/>
      <c r="K99" s="2"/>
      <c r="L99" s="2"/>
      <c r="M99" s="2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0"/>
      <c r="G100" s="30"/>
      <c r="H100" s="30"/>
      <c r="I100" s="2"/>
      <c r="J100" s="2"/>
      <c r="K100" s="2"/>
      <c r="L100" s="2"/>
      <c r="M100" s="2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0"/>
      <c r="G101" s="30"/>
      <c r="H101" s="30"/>
      <c r="I101" s="2"/>
      <c r="J101" s="2"/>
      <c r="K101" s="2"/>
      <c r="L101" s="2"/>
      <c r="M101" s="2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0"/>
      <c r="G102" s="30"/>
      <c r="H102" s="30"/>
      <c r="I102" s="2"/>
      <c r="J102" s="2"/>
      <c r="K102" s="2"/>
      <c r="L102" s="2"/>
      <c r="M102" s="2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0"/>
      <c r="G103" s="30"/>
      <c r="H103" s="30"/>
      <c r="I103" s="2"/>
      <c r="J103" s="2"/>
      <c r="K103" s="2"/>
      <c r="L103" s="2"/>
      <c r="M103" s="2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0"/>
      <c r="G104" s="30"/>
      <c r="H104" s="30"/>
      <c r="I104" s="2"/>
      <c r="J104" s="2"/>
      <c r="K104" s="2"/>
      <c r="L104" s="2"/>
      <c r="M104" s="2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0"/>
      <c r="G105" s="30"/>
      <c r="H105" s="30"/>
      <c r="I105" s="2"/>
      <c r="J105" s="2"/>
      <c r="K105" s="2"/>
      <c r="L105" s="2"/>
      <c r="M105" s="2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0"/>
      <c r="G106" s="30"/>
      <c r="H106" s="30"/>
      <c r="I106" s="2"/>
      <c r="J106" s="2"/>
      <c r="K106" s="2"/>
      <c r="L106" s="2"/>
      <c r="M106" s="2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0"/>
      <c r="G107" s="30"/>
      <c r="H107" s="30"/>
      <c r="I107" s="2"/>
      <c r="J107" s="2"/>
      <c r="K107" s="2"/>
      <c r="L107" s="2"/>
      <c r="M107" s="2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0"/>
      <c r="G108" s="30"/>
      <c r="H108" s="30"/>
      <c r="I108" s="2"/>
      <c r="J108" s="2"/>
      <c r="K108" s="2"/>
      <c r="L108" s="2"/>
      <c r="M108" s="2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0"/>
      <c r="G109" s="30"/>
      <c r="H109" s="30"/>
      <c r="I109" s="2"/>
      <c r="J109" s="2"/>
      <c r="K109" s="2"/>
      <c r="L109" s="2"/>
      <c r="M109" s="2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0"/>
      <c r="G110" s="30"/>
      <c r="H110" s="30"/>
      <c r="I110" s="2"/>
      <c r="J110" s="2"/>
      <c r="K110" s="2"/>
      <c r="L110" s="2"/>
      <c r="M110" s="2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0"/>
      <c r="G111" s="30"/>
      <c r="H111" s="30"/>
      <c r="I111" s="2"/>
      <c r="J111" s="2"/>
      <c r="K111" s="2"/>
      <c r="L111" s="2"/>
      <c r="M111" s="2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0"/>
      <c r="G112" s="30"/>
      <c r="H112" s="30"/>
      <c r="I112" s="2"/>
      <c r="J112" s="2"/>
      <c r="K112" s="2"/>
      <c r="L112" s="2"/>
      <c r="M112" s="2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0"/>
      <c r="G113" s="30"/>
      <c r="H113" s="30"/>
      <c r="I113" s="2"/>
      <c r="J113" s="2"/>
      <c r="K113" s="2"/>
      <c r="L113" s="2"/>
      <c r="M113" s="2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0"/>
      <c r="G114" s="30"/>
      <c r="H114" s="30"/>
      <c r="I114" s="2"/>
      <c r="J114" s="2"/>
      <c r="K114" s="2"/>
      <c r="L114" s="2"/>
      <c r="M114" s="2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0"/>
      <c r="G115" s="30"/>
      <c r="H115" s="30"/>
      <c r="I115" s="2"/>
      <c r="J115" s="2"/>
      <c r="K115" s="2"/>
      <c r="L115" s="2"/>
      <c r="M115" s="2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0"/>
      <c r="G116" s="30"/>
      <c r="H116" s="30"/>
      <c r="I116" s="2"/>
      <c r="J116" s="2"/>
      <c r="K116" s="2"/>
      <c r="L116" s="2"/>
      <c r="M116" s="2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0"/>
      <c r="G117" s="30"/>
      <c r="H117" s="30"/>
      <c r="I117" s="2"/>
      <c r="J117" s="2"/>
      <c r="K117" s="2"/>
      <c r="L117" s="2"/>
      <c r="M117" s="2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0"/>
      <c r="G118" s="30"/>
      <c r="H118" s="30"/>
      <c r="I118" s="2"/>
      <c r="J118" s="2"/>
      <c r="K118" s="2"/>
      <c r="L118" s="2"/>
      <c r="M118" s="2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0"/>
      <c r="G119" s="30"/>
      <c r="H119" s="30"/>
      <c r="I119" s="2"/>
      <c r="J119" s="2"/>
      <c r="K119" s="2"/>
      <c r="L119" s="2"/>
      <c r="M119" s="2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0"/>
      <c r="G120" s="30"/>
      <c r="H120" s="30"/>
      <c r="I120" s="2"/>
      <c r="J120" s="2"/>
      <c r="K120" s="2"/>
      <c r="L120" s="2"/>
      <c r="M120" s="2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0"/>
      <c r="G121" s="30"/>
      <c r="H121" s="30"/>
      <c r="I121" s="2"/>
      <c r="J121" s="2"/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H121">
    <cfRule type="expression" dxfId="7" priority="1">
      <formula>MOD(ROW(),2)=0</formula>
    </cfRule>
  </conditionalFormatting>
  <dataValidations count="1">
    <dataValidation type="list" sqref="D2:D121" xr:uid="{00000000-0002-0000-1300-000000000000}">
      <formula1>"Full,Partial,Related,No Mapping"</formula1>
    </dataValidation>
  </dataValidations>
  <hyperlinks>
    <hyperlink ref="X1" location="'Cover'!A1" display="Cover" xr:uid="{00000000-0004-0000-1300-000000000000}"/>
    <hyperlink ref="Y1" location="'Index'!A1" display="Index" xr:uid="{00000000-0004-0000-1300-000001000000}"/>
    <hyperlink ref="Z1" location="'Executive Dashboard'!A1" display="Dashboard" xr:uid="{00000000-0004-0000-1300-000002000000}"/>
    <hyperlink ref="AA1" location="'Live KPI Overview'!A1" display="Analytics" xr:uid="{00000000-0004-0000-13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50"/>
  <sheetViews>
    <sheetView showGridLines="0" workbookViewId="0">
      <pane ySplit="1" topLeftCell="A2" activePane="bottomLeft" state="frozen"/>
      <selection pane="bottomLeft" activeCell="C5" sqref="C5"/>
    </sheetView>
  </sheetViews>
  <sheetFormatPr defaultRowHeight="13.8"/>
  <cols>
    <col min="1" max="2" width="17" customWidth="1"/>
    <col min="3" max="3" width="35" customWidth="1"/>
    <col min="4" max="4" width="17" customWidth="1"/>
    <col min="5" max="5" width="20.19921875" customWidth="1"/>
    <col min="6" max="7" width="17" customWidth="1"/>
    <col min="8" max="8" width="23" customWidth="1"/>
    <col min="9" max="21" width="19" customWidth="1"/>
    <col min="24" max="27" width="13" customWidth="1"/>
  </cols>
  <sheetData>
    <row r="1" spans="1:27" ht="34.950000000000003" customHeight="1">
      <c r="A1" s="29" t="s">
        <v>241</v>
      </c>
      <c r="B1" s="29" t="s">
        <v>242</v>
      </c>
      <c r="C1" s="29" t="s">
        <v>243</v>
      </c>
      <c r="D1" s="29" t="s">
        <v>99</v>
      </c>
      <c r="E1" s="29" t="s">
        <v>244</v>
      </c>
      <c r="F1" s="29" t="s">
        <v>245</v>
      </c>
      <c r="G1" s="29" t="s">
        <v>203</v>
      </c>
      <c r="H1" s="29" t="s">
        <v>97</v>
      </c>
      <c r="I1" s="4"/>
      <c r="J1" s="4"/>
      <c r="K1" s="4"/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 t="s">
        <v>246</v>
      </c>
      <c r="B2" s="30" t="s">
        <v>247</v>
      </c>
      <c r="C2" s="30" t="s">
        <v>105</v>
      </c>
      <c r="D2" s="30"/>
      <c r="E2" s="30" t="s">
        <v>248</v>
      </c>
      <c r="F2" s="30"/>
      <c r="G2" s="30"/>
      <c r="H2" s="30" t="s">
        <v>249</v>
      </c>
      <c r="I2" s="7"/>
      <c r="J2" s="7"/>
      <c r="K2" s="7"/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 t="s">
        <v>250</v>
      </c>
      <c r="B3" s="30" t="s">
        <v>251</v>
      </c>
      <c r="C3" s="30" t="s">
        <v>116</v>
      </c>
      <c r="D3" s="30"/>
      <c r="E3" s="30" t="s">
        <v>248</v>
      </c>
      <c r="F3" s="30"/>
      <c r="G3" s="30"/>
      <c r="H3" s="30" t="s">
        <v>249</v>
      </c>
      <c r="I3" s="2"/>
      <c r="J3" s="2"/>
      <c r="K3" s="2"/>
      <c r="L3" s="2"/>
      <c r="M3" s="2"/>
      <c r="N3" s="2"/>
      <c r="O3" s="2"/>
      <c r="P3" s="2"/>
    </row>
    <row r="4" spans="1:27" ht="22.95" customHeight="1">
      <c r="A4" s="30" t="s">
        <v>252</v>
      </c>
      <c r="B4" s="30" t="s">
        <v>121</v>
      </c>
      <c r="C4" s="30" t="s">
        <v>122</v>
      </c>
      <c r="D4" s="30"/>
      <c r="E4" s="30" t="s">
        <v>248</v>
      </c>
      <c r="F4" s="30"/>
      <c r="G4" s="30"/>
      <c r="H4" s="30" t="s">
        <v>249</v>
      </c>
      <c r="I4" s="2"/>
      <c r="J4" s="2"/>
      <c r="K4" s="2"/>
      <c r="L4" s="2"/>
      <c r="M4" s="2"/>
      <c r="N4" s="2"/>
      <c r="O4" s="2"/>
      <c r="P4" s="2"/>
    </row>
    <row r="5" spans="1:27" ht="22.95" customHeight="1">
      <c r="A5" s="30" t="s">
        <v>253</v>
      </c>
      <c r="B5" s="30" t="s">
        <v>254</v>
      </c>
      <c r="C5" s="30" t="s">
        <v>137</v>
      </c>
      <c r="D5" s="30"/>
      <c r="E5" s="30" t="s">
        <v>255</v>
      </c>
      <c r="F5" s="30"/>
      <c r="G5" s="30"/>
      <c r="H5" s="30" t="s">
        <v>249</v>
      </c>
      <c r="I5" s="2"/>
      <c r="J5" s="2"/>
      <c r="K5" s="2"/>
      <c r="L5" s="2"/>
      <c r="M5" s="2"/>
      <c r="N5" s="2"/>
      <c r="O5" s="2"/>
      <c r="P5" s="2"/>
    </row>
    <row r="6" spans="1:27" ht="22.95" customHeight="1">
      <c r="A6" s="30"/>
      <c r="B6" s="30"/>
      <c r="C6" s="30"/>
      <c r="D6" s="30"/>
      <c r="E6" s="30"/>
      <c r="F6" s="30"/>
      <c r="G6" s="30"/>
      <c r="H6" s="30"/>
      <c r="I6" s="2"/>
      <c r="J6" s="2"/>
      <c r="K6" s="2"/>
      <c r="L6" s="2"/>
      <c r="M6" s="2"/>
      <c r="N6" s="2"/>
      <c r="O6" s="2"/>
      <c r="P6" s="2"/>
    </row>
    <row r="7" spans="1:27" ht="22.95" customHeight="1">
      <c r="A7" s="30"/>
      <c r="B7" s="30"/>
      <c r="C7" s="30"/>
      <c r="D7" s="30"/>
      <c r="E7" s="30"/>
      <c r="F7" s="30"/>
      <c r="G7" s="30"/>
      <c r="H7" s="30"/>
      <c r="I7" s="2"/>
      <c r="J7" s="2"/>
      <c r="K7" s="2"/>
      <c r="L7" s="2"/>
      <c r="M7" s="2"/>
      <c r="N7" s="2"/>
      <c r="O7" s="2"/>
      <c r="P7" s="2"/>
    </row>
    <row r="8" spans="1:27" ht="22.95" customHeight="1">
      <c r="A8" s="30"/>
      <c r="B8" s="30"/>
      <c r="C8" s="30"/>
      <c r="D8" s="30"/>
      <c r="E8" s="30"/>
      <c r="F8" s="30"/>
      <c r="G8" s="30"/>
      <c r="H8" s="30"/>
      <c r="I8" s="2"/>
      <c r="J8" s="2"/>
      <c r="K8" s="2"/>
      <c r="L8" s="2"/>
      <c r="M8" s="2"/>
      <c r="N8" s="2"/>
      <c r="O8" s="2"/>
      <c r="P8" s="2"/>
    </row>
    <row r="9" spans="1:27" ht="22.95" customHeight="1">
      <c r="A9" s="30"/>
      <c r="B9" s="30"/>
      <c r="C9" s="30"/>
      <c r="D9" s="30"/>
      <c r="E9" s="30"/>
      <c r="F9" s="30"/>
      <c r="G9" s="30"/>
      <c r="H9" s="30"/>
      <c r="I9" s="2"/>
      <c r="J9" s="2"/>
      <c r="K9" s="2"/>
      <c r="L9" s="2"/>
      <c r="M9" s="2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0"/>
      <c r="G10" s="30"/>
      <c r="H10" s="30"/>
      <c r="I10" s="2"/>
      <c r="J10" s="2"/>
      <c r="K10" s="2"/>
      <c r="L10" s="2"/>
      <c r="M10" s="2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0"/>
      <c r="G11" s="30"/>
      <c r="H11" s="30"/>
      <c r="I11" s="2"/>
      <c r="J11" s="2"/>
      <c r="K11" s="2"/>
      <c r="L11" s="2"/>
      <c r="M11" s="2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0"/>
      <c r="G12" s="30"/>
      <c r="H12" s="30"/>
      <c r="I12" s="2"/>
      <c r="J12" s="2"/>
      <c r="K12" s="2"/>
      <c r="L12" s="2"/>
      <c r="M12" s="2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0"/>
      <c r="G13" s="30"/>
      <c r="H13" s="30"/>
      <c r="I13" s="2"/>
      <c r="J13" s="2"/>
      <c r="K13" s="2"/>
      <c r="L13" s="2"/>
      <c r="M13" s="2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0"/>
      <c r="G14" s="30"/>
      <c r="H14" s="30"/>
      <c r="I14" s="2"/>
      <c r="J14" s="2"/>
      <c r="K14" s="2"/>
      <c r="L14" s="2"/>
      <c r="M14" s="2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0"/>
      <c r="G15" s="30"/>
      <c r="H15" s="30"/>
      <c r="I15" s="2"/>
      <c r="J15" s="2"/>
      <c r="K15" s="2"/>
      <c r="L15" s="2"/>
      <c r="M15" s="2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0"/>
      <c r="G16" s="30"/>
      <c r="H16" s="30"/>
      <c r="I16" s="2"/>
      <c r="J16" s="2"/>
      <c r="K16" s="2"/>
      <c r="L16" s="2"/>
      <c r="M16" s="2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0"/>
      <c r="G17" s="30"/>
      <c r="H17" s="30"/>
      <c r="I17" s="2"/>
      <c r="J17" s="2"/>
      <c r="K17" s="2"/>
      <c r="L17" s="2"/>
      <c r="M17" s="2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0"/>
      <c r="G18" s="30"/>
      <c r="H18" s="30"/>
      <c r="I18" s="2"/>
      <c r="J18" s="2"/>
      <c r="K18" s="2"/>
      <c r="L18" s="2"/>
      <c r="M18" s="2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0"/>
      <c r="G19" s="30"/>
      <c r="H19" s="30"/>
      <c r="I19" s="2"/>
      <c r="J19" s="2"/>
      <c r="K19" s="2"/>
      <c r="L19" s="2"/>
      <c r="M19" s="2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0"/>
      <c r="G20" s="30"/>
      <c r="H20" s="30"/>
      <c r="I20" s="2"/>
      <c r="J20" s="2"/>
      <c r="K20" s="2"/>
      <c r="L20" s="2"/>
      <c r="M20" s="2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0"/>
      <c r="G21" s="30"/>
      <c r="H21" s="30"/>
      <c r="I21" s="2"/>
      <c r="J21" s="2"/>
      <c r="K21" s="2"/>
      <c r="L21" s="2"/>
      <c r="M21" s="2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0"/>
      <c r="G22" s="30"/>
      <c r="H22" s="30"/>
      <c r="I22" s="2"/>
      <c r="J22" s="2"/>
      <c r="K22" s="2"/>
      <c r="L22" s="2"/>
      <c r="M22" s="2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0"/>
      <c r="G23" s="30"/>
      <c r="H23" s="30"/>
      <c r="I23" s="2"/>
      <c r="J23" s="2"/>
      <c r="K23" s="2"/>
      <c r="L23" s="2"/>
      <c r="M23" s="2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0"/>
      <c r="G24" s="30"/>
      <c r="H24" s="30"/>
      <c r="I24" s="2"/>
      <c r="J24" s="2"/>
      <c r="K24" s="2"/>
      <c r="L24" s="2"/>
      <c r="M24" s="2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0"/>
      <c r="G25" s="30"/>
      <c r="H25" s="30"/>
      <c r="I25" s="2"/>
      <c r="J25" s="2"/>
      <c r="K25" s="2"/>
      <c r="L25" s="2"/>
      <c r="M25" s="2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0"/>
      <c r="G26" s="30"/>
      <c r="H26" s="30"/>
      <c r="I26" s="2"/>
      <c r="J26" s="2"/>
      <c r="K26" s="2"/>
      <c r="L26" s="2"/>
      <c r="M26" s="2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0"/>
      <c r="G27" s="30"/>
      <c r="H27" s="30"/>
      <c r="I27" s="2"/>
      <c r="J27" s="2"/>
      <c r="K27" s="2"/>
      <c r="L27" s="2"/>
      <c r="M27" s="2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0"/>
      <c r="G28" s="30"/>
      <c r="H28" s="30"/>
      <c r="I28" s="2"/>
      <c r="J28" s="2"/>
      <c r="K28" s="2"/>
      <c r="L28" s="2"/>
      <c r="M28" s="2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0"/>
      <c r="G29" s="30"/>
      <c r="H29" s="30"/>
      <c r="I29" s="2"/>
      <c r="J29" s="2"/>
      <c r="K29" s="2"/>
      <c r="L29" s="2"/>
      <c r="M29" s="2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0"/>
      <c r="G30" s="30"/>
      <c r="H30" s="30"/>
      <c r="I30" s="2"/>
      <c r="J30" s="2"/>
      <c r="K30" s="2"/>
      <c r="L30" s="2"/>
      <c r="M30" s="2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0"/>
      <c r="G31" s="30"/>
      <c r="H31" s="30"/>
      <c r="I31" s="2"/>
      <c r="J31" s="2"/>
      <c r="K31" s="2"/>
      <c r="L31" s="2"/>
      <c r="M31" s="2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0"/>
      <c r="G32" s="30"/>
      <c r="H32" s="30"/>
      <c r="I32" s="2"/>
      <c r="J32" s="2"/>
      <c r="K32" s="2"/>
      <c r="L32" s="2"/>
      <c r="M32" s="2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0"/>
      <c r="G33" s="30"/>
      <c r="H33" s="30"/>
      <c r="I33" s="2"/>
      <c r="J33" s="2"/>
      <c r="K33" s="2"/>
      <c r="L33" s="2"/>
      <c r="M33" s="2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0"/>
      <c r="G34" s="30"/>
      <c r="H34" s="30"/>
      <c r="I34" s="2"/>
      <c r="J34" s="2"/>
      <c r="K34" s="2"/>
      <c r="L34" s="2"/>
      <c r="M34" s="2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0"/>
      <c r="G35" s="30"/>
      <c r="H35" s="30"/>
      <c r="I35" s="2"/>
      <c r="J35" s="2"/>
      <c r="K35" s="2"/>
      <c r="L35" s="2"/>
      <c r="M35" s="2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0"/>
      <c r="G36" s="30"/>
      <c r="H36" s="30"/>
      <c r="I36" s="2"/>
      <c r="J36" s="2"/>
      <c r="K36" s="2"/>
      <c r="L36" s="2"/>
      <c r="M36" s="2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0"/>
      <c r="G37" s="30"/>
      <c r="H37" s="30"/>
      <c r="I37" s="2"/>
      <c r="J37" s="2"/>
      <c r="K37" s="2"/>
      <c r="L37" s="2"/>
      <c r="M37" s="2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0"/>
      <c r="G38" s="30"/>
      <c r="H38" s="30"/>
      <c r="I38" s="2"/>
      <c r="J38" s="2"/>
      <c r="K38" s="2"/>
      <c r="L38" s="2"/>
      <c r="M38" s="2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0"/>
      <c r="G39" s="30"/>
      <c r="H39" s="30"/>
      <c r="I39" s="2"/>
      <c r="J39" s="2"/>
      <c r="K39" s="2"/>
      <c r="L39" s="2"/>
      <c r="M39" s="2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0"/>
      <c r="G40" s="30"/>
      <c r="H40" s="30"/>
      <c r="I40" s="2"/>
      <c r="J40" s="2"/>
      <c r="K40" s="2"/>
      <c r="L40" s="2"/>
      <c r="M40" s="2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0"/>
      <c r="G41" s="30"/>
      <c r="H41" s="30"/>
      <c r="I41" s="2"/>
      <c r="J41" s="2"/>
      <c r="K41" s="2"/>
      <c r="L41" s="2"/>
      <c r="M41" s="2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0"/>
      <c r="G42" s="30"/>
      <c r="H42" s="30"/>
      <c r="I42" s="2"/>
      <c r="J42" s="2"/>
      <c r="K42" s="2"/>
      <c r="L42" s="2"/>
      <c r="M42" s="2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0"/>
      <c r="G43" s="30"/>
      <c r="H43" s="30"/>
      <c r="I43" s="2"/>
      <c r="J43" s="2"/>
      <c r="K43" s="2"/>
      <c r="L43" s="2"/>
      <c r="M43" s="2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0"/>
      <c r="G44" s="30"/>
      <c r="H44" s="30"/>
      <c r="I44" s="2"/>
      <c r="J44" s="2"/>
      <c r="K44" s="2"/>
      <c r="L44" s="2"/>
      <c r="M44" s="2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0"/>
      <c r="G45" s="30"/>
      <c r="H45" s="30"/>
      <c r="I45" s="2"/>
      <c r="J45" s="2"/>
      <c r="K45" s="2"/>
      <c r="L45" s="2"/>
      <c r="M45" s="2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0"/>
      <c r="G46" s="30"/>
      <c r="H46" s="30"/>
      <c r="I46" s="2"/>
      <c r="J46" s="2"/>
      <c r="K46" s="2"/>
      <c r="L46" s="2"/>
      <c r="M46" s="2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0"/>
      <c r="G47" s="30"/>
      <c r="H47" s="30"/>
      <c r="I47" s="2"/>
      <c r="J47" s="2"/>
      <c r="K47" s="2"/>
      <c r="L47" s="2"/>
      <c r="M47" s="2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0"/>
      <c r="G48" s="30"/>
      <c r="H48" s="30"/>
      <c r="I48" s="2"/>
      <c r="J48" s="2"/>
      <c r="K48" s="2"/>
      <c r="L48" s="2"/>
      <c r="M48" s="2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0"/>
      <c r="G49" s="30"/>
      <c r="H49" s="30"/>
      <c r="I49" s="2"/>
      <c r="J49" s="2"/>
      <c r="K49" s="2"/>
      <c r="L49" s="2"/>
      <c r="M49" s="2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0"/>
      <c r="G50" s="30"/>
      <c r="H50" s="30"/>
      <c r="I50" s="2"/>
      <c r="J50" s="2"/>
      <c r="K50" s="2"/>
      <c r="L50" s="2"/>
      <c r="M50" s="2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0"/>
      <c r="G51" s="30"/>
      <c r="H51" s="30"/>
      <c r="I51" s="2"/>
      <c r="J51" s="2"/>
      <c r="K51" s="2"/>
      <c r="L51" s="2"/>
      <c r="M51" s="2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0"/>
      <c r="G52" s="30"/>
      <c r="H52" s="30"/>
      <c r="I52" s="2"/>
      <c r="J52" s="2"/>
      <c r="K52" s="2"/>
      <c r="L52" s="2"/>
      <c r="M52" s="2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0"/>
      <c r="G53" s="30"/>
      <c r="H53" s="30"/>
      <c r="I53" s="2"/>
      <c r="J53" s="2"/>
      <c r="K53" s="2"/>
      <c r="L53" s="2"/>
      <c r="M53" s="2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0"/>
      <c r="G54" s="30"/>
      <c r="H54" s="30"/>
      <c r="I54" s="2"/>
      <c r="J54" s="2"/>
      <c r="K54" s="2"/>
      <c r="L54" s="2"/>
      <c r="M54" s="2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0"/>
      <c r="G55" s="30"/>
      <c r="H55" s="30"/>
      <c r="I55" s="2"/>
      <c r="J55" s="2"/>
      <c r="K55" s="2"/>
      <c r="L55" s="2"/>
      <c r="M55" s="2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0"/>
      <c r="G56" s="30"/>
      <c r="H56" s="30"/>
      <c r="I56" s="2"/>
      <c r="J56" s="2"/>
      <c r="K56" s="2"/>
      <c r="L56" s="2"/>
      <c r="M56" s="2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0"/>
      <c r="G57" s="30"/>
      <c r="H57" s="30"/>
      <c r="I57" s="2"/>
      <c r="J57" s="2"/>
      <c r="K57" s="2"/>
      <c r="L57" s="2"/>
      <c r="M57" s="2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0"/>
      <c r="G58" s="30"/>
      <c r="H58" s="30"/>
      <c r="I58" s="2"/>
      <c r="J58" s="2"/>
      <c r="K58" s="2"/>
      <c r="L58" s="2"/>
      <c r="M58" s="2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0"/>
      <c r="G59" s="30"/>
      <c r="H59" s="30"/>
      <c r="I59" s="2"/>
      <c r="J59" s="2"/>
      <c r="K59" s="2"/>
      <c r="L59" s="2"/>
      <c r="M59" s="2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0"/>
      <c r="G60" s="30"/>
      <c r="H60" s="30"/>
      <c r="I60" s="2"/>
      <c r="J60" s="2"/>
      <c r="K60" s="2"/>
      <c r="L60" s="2"/>
      <c r="M60" s="2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0"/>
      <c r="G61" s="30"/>
      <c r="H61" s="30"/>
      <c r="I61" s="2"/>
      <c r="J61" s="2"/>
      <c r="K61" s="2"/>
      <c r="L61" s="2"/>
      <c r="M61" s="2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0"/>
      <c r="G62" s="30"/>
      <c r="H62" s="30"/>
      <c r="I62" s="2"/>
      <c r="J62" s="2"/>
      <c r="K62" s="2"/>
      <c r="L62" s="2"/>
      <c r="M62" s="2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0"/>
      <c r="G63" s="30"/>
      <c r="H63" s="30"/>
      <c r="I63" s="2"/>
      <c r="J63" s="2"/>
      <c r="K63" s="2"/>
      <c r="L63" s="2"/>
      <c r="M63" s="2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0"/>
      <c r="G64" s="30"/>
      <c r="H64" s="30"/>
      <c r="I64" s="2"/>
      <c r="J64" s="2"/>
      <c r="K64" s="2"/>
      <c r="L64" s="2"/>
      <c r="M64" s="2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0"/>
      <c r="G65" s="30"/>
      <c r="H65" s="30"/>
      <c r="I65" s="2"/>
      <c r="J65" s="2"/>
      <c r="K65" s="2"/>
      <c r="L65" s="2"/>
      <c r="M65" s="2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0"/>
      <c r="G66" s="30"/>
      <c r="H66" s="30"/>
      <c r="I66" s="2"/>
      <c r="J66" s="2"/>
      <c r="K66" s="2"/>
      <c r="L66" s="2"/>
      <c r="M66" s="2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0"/>
      <c r="G67" s="30"/>
      <c r="H67" s="30"/>
      <c r="I67" s="2"/>
      <c r="J67" s="2"/>
      <c r="K67" s="2"/>
      <c r="L67" s="2"/>
      <c r="M67" s="2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0"/>
      <c r="G68" s="30"/>
      <c r="H68" s="30"/>
      <c r="I68" s="2"/>
      <c r="J68" s="2"/>
      <c r="K68" s="2"/>
      <c r="L68" s="2"/>
      <c r="M68" s="2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0"/>
      <c r="G69" s="30"/>
      <c r="H69" s="30"/>
      <c r="I69" s="2"/>
      <c r="J69" s="2"/>
      <c r="K69" s="2"/>
      <c r="L69" s="2"/>
      <c r="M69" s="2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0"/>
      <c r="G70" s="30"/>
      <c r="H70" s="30"/>
      <c r="I70" s="2"/>
      <c r="J70" s="2"/>
      <c r="K70" s="2"/>
      <c r="L70" s="2"/>
      <c r="M70" s="2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0"/>
      <c r="G71" s="30"/>
      <c r="H71" s="30"/>
      <c r="I71" s="2"/>
      <c r="J71" s="2"/>
      <c r="K71" s="2"/>
      <c r="L71" s="2"/>
      <c r="M71" s="2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0"/>
      <c r="G72" s="30"/>
      <c r="H72" s="30"/>
      <c r="I72" s="2"/>
      <c r="J72" s="2"/>
      <c r="K72" s="2"/>
      <c r="L72" s="2"/>
      <c r="M72" s="2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0"/>
      <c r="G73" s="30"/>
      <c r="H73" s="30"/>
      <c r="I73" s="2"/>
      <c r="J73" s="2"/>
      <c r="K73" s="2"/>
      <c r="L73" s="2"/>
      <c r="M73" s="2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0"/>
      <c r="G74" s="30"/>
      <c r="H74" s="30"/>
      <c r="I74" s="2"/>
      <c r="J74" s="2"/>
      <c r="K74" s="2"/>
      <c r="L74" s="2"/>
      <c r="M74" s="2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0"/>
      <c r="G75" s="30"/>
      <c r="H75" s="30"/>
      <c r="I75" s="2"/>
      <c r="J75" s="2"/>
      <c r="K75" s="2"/>
      <c r="L75" s="2"/>
      <c r="M75" s="2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0"/>
      <c r="G76" s="30"/>
      <c r="H76" s="30"/>
      <c r="I76" s="2"/>
      <c r="J76" s="2"/>
      <c r="K76" s="2"/>
      <c r="L76" s="2"/>
      <c r="M76" s="2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0"/>
      <c r="G77" s="30"/>
      <c r="H77" s="30"/>
      <c r="I77" s="2"/>
      <c r="J77" s="2"/>
      <c r="K77" s="2"/>
      <c r="L77" s="2"/>
      <c r="M77" s="2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0"/>
      <c r="G78" s="30"/>
      <c r="H78" s="30"/>
      <c r="I78" s="2"/>
      <c r="J78" s="2"/>
      <c r="K78" s="2"/>
      <c r="L78" s="2"/>
      <c r="M78" s="2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0"/>
      <c r="G79" s="30"/>
      <c r="H79" s="30"/>
      <c r="I79" s="2"/>
      <c r="J79" s="2"/>
      <c r="K79" s="2"/>
      <c r="L79" s="2"/>
      <c r="M79" s="2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0"/>
      <c r="G80" s="30"/>
      <c r="H80" s="30"/>
      <c r="I80" s="2"/>
      <c r="J80" s="2"/>
      <c r="K80" s="2"/>
      <c r="L80" s="2"/>
      <c r="M80" s="2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0"/>
      <c r="G81" s="30"/>
      <c r="H81" s="30"/>
      <c r="I81" s="2"/>
      <c r="J81" s="2"/>
      <c r="K81" s="2"/>
      <c r="L81" s="2"/>
      <c r="M81" s="2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0"/>
      <c r="G82" s="30"/>
      <c r="H82" s="30"/>
      <c r="I82" s="2"/>
      <c r="J82" s="2"/>
      <c r="K82" s="2"/>
      <c r="L82" s="2"/>
      <c r="M82" s="2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0"/>
      <c r="G83" s="30"/>
      <c r="H83" s="30"/>
      <c r="I83" s="2"/>
      <c r="J83" s="2"/>
      <c r="K83" s="2"/>
      <c r="L83" s="2"/>
      <c r="M83" s="2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0"/>
      <c r="G84" s="30"/>
      <c r="H84" s="30"/>
      <c r="I84" s="2"/>
      <c r="J84" s="2"/>
      <c r="K84" s="2"/>
      <c r="L84" s="2"/>
      <c r="M84" s="2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0"/>
      <c r="G85" s="30"/>
      <c r="H85" s="30"/>
      <c r="I85" s="2"/>
      <c r="J85" s="2"/>
      <c r="K85" s="2"/>
      <c r="L85" s="2"/>
      <c r="M85" s="2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0"/>
      <c r="G86" s="30"/>
      <c r="H86" s="30"/>
      <c r="I86" s="2"/>
      <c r="J86" s="2"/>
      <c r="K86" s="2"/>
      <c r="L86" s="2"/>
      <c r="M86" s="2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0"/>
      <c r="G87" s="30"/>
      <c r="H87" s="30"/>
      <c r="I87" s="2"/>
      <c r="J87" s="2"/>
      <c r="K87" s="2"/>
      <c r="L87" s="2"/>
      <c r="M87" s="2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0"/>
      <c r="G88" s="30"/>
      <c r="H88" s="30"/>
      <c r="I88" s="2"/>
      <c r="J88" s="2"/>
      <c r="K88" s="2"/>
      <c r="L88" s="2"/>
      <c r="M88" s="2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0"/>
      <c r="G89" s="30"/>
      <c r="H89" s="30"/>
      <c r="I89" s="2"/>
      <c r="J89" s="2"/>
      <c r="K89" s="2"/>
      <c r="L89" s="2"/>
      <c r="M89" s="2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0"/>
      <c r="G90" s="30"/>
      <c r="H90" s="30"/>
      <c r="I90" s="2"/>
      <c r="J90" s="2"/>
      <c r="K90" s="2"/>
      <c r="L90" s="2"/>
      <c r="M90" s="2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0"/>
      <c r="G91" s="30"/>
      <c r="H91" s="30"/>
      <c r="I91" s="2"/>
      <c r="J91" s="2"/>
      <c r="K91" s="2"/>
      <c r="L91" s="2"/>
      <c r="M91" s="2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0"/>
      <c r="G92" s="30"/>
      <c r="H92" s="30"/>
      <c r="I92" s="2"/>
      <c r="J92" s="2"/>
      <c r="K92" s="2"/>
      <c r="L92" s="2"/>
      <c r="M92" s="2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0"/>
      <c r="G93" s="30"/>
      <c r="H93" s="30"/>
      <c r="I93" s="2"/>
      <c r="J93" s="2"/>
      <c r="K93" s="2"/>
      <c r="L93" s="2"/>
      <c r="M93" s="2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0"/>
      <c r="G94" s="30"/>
      <c r="H94" s="30"/>
      <c r="I94" s="2"/>
      <c r="J94" s="2"/>
      <c r="K94" s="2"/>
      <c r="L94" s="2"/>
      <c r="M94" s="2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0"/>
      <c r="G95" s="30"/>
      <c r="H95" s="30"/>
      <c r="I95" s="2"/>
      <c r="J95" s="2"/>
      <c r="K95" s="2"/>
      <c r="L95" s="2"/>
      <c r="M95" s="2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0"/>
      <c r="G96" s="30"/>
      <c r="H96" s="30"/>
      <c r="I96" s="2"/>
      <c r="J96" s="2"/>
      <c r="K96" s="2"/>
      <c r="L96" s="2"/>
      <c r="M96" s="2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0"/>
      <c r="G97" s="30"/>
      <c r="H97" s="30"/>
      <c r="I97" s="2"/>
      <c r="J97" s="2"/>
      <c r="K97" s="2"/>
      <c r="L97" s="2"/>
      <c r="M97" s="2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0"/>
      <c r="G98" s="30"/>
      <c r="H98" s="30"/>
      <c r="I98" s="2"/>
      <c r="J98" s="2"/>
      <c r="K98" s="2"/>
      <c r="L98" s="2"/>
      <c r="M98" s="2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0"/>
      <c r="G99" s="30"/>
      <c r="H99" s="30"/>
      <c r="I99" s="2"/>
      <c r="J99" s="2"/>
      <c r="K99" s="2"/>
      <c r="L99" s="2"/>
      <c r="M99" s="2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0"/>
      <c r="G100" s="30"/>
      <c r="H100" s="30"/>
      <c r="I100" s="2"/>
      <c r="J100" s="2"/>
      <c r="K100" s="2"/>
      <c r="L100" s="2"/>
      <c r="M100" s="2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0"/>
      <c r="G101" s="30"/>
      <c r="H101" s="30"/>
      <c r="I101" s="2"/>
      <c r="J101" s="2"/>
      <c r="K101" s="2"/>
      <c r="L101" s="2"/>
      <c r="M101" s="2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0"/>
      <c r="G102" s="30"/>
      <c r="H102" s="30"/>
      <c r="I102" s="2"/>
      <c r="J102" s="2"/>
      <c r="K102" s="2"/>
      <c r="L102" s="2"/>
      <c r="M102" s="2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0"/>
      <c r="G103" s="30"/>
      <c r="H103" s="30"/>
      <c r="I103" s="2"/>
      <c r="J103" s="2"/>
      <c r="K103" s="2"/>
      <c r="L103" s="2"/>
      <c r="M103" s="2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0"/>
      <c r="G104" s="30"/>
      <c r="H104" s="30"/>
      <c r="I104" s="2"/>
      <c r="J104" s="2"/>
      <c r="K104" s="2"/>
      <c r="L104" s="2"/>
      <c r="M104" s="2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0"/>
      <c r="G105" s="30"/>
      <c r="H105" s="30"/>
      <c r="I105" s="2"/>
      <c r="J105" s="2"/>
      <c r="K105" s="2"/>
      <c r="L105" s="2"/>
      <c r="M105" s="2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0"/>
      <c r="G106" s="30"/>
      <c r="H106" s="30"/>
      <c r="I106" s="2"/>
      <c r="J106" s="2"/>
      <c r="K106" s="2"/>
      <c r="L106" s="2"/>
      <c r="M106" s="2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0"/>
      <c r="G107" s="30"/>
      <c r="H107" s="30"/>
      <c r="I107" s="2"/>
      <c r="J107" s="2"/>
      <c r="K107" s="2"/>
      <c r="L107" s="2"/>
      <c r="M107" s="2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0"/>
      <c r="G108" s="30"/>
      <c r="H108" s="30"/>
      <c r="I108" s="2"/>
      <c r="J108" s="2"/>
      <c r="K108" s="2"/>
      <c r="L108" s="2"/>
      <c r="M108" s="2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0"/>
      <c r="G109" s="30"/>
      <c r="H109" s="30"/>
      <c r="I109" s="2"/>
      <c r="J109" s="2"/>
      <c r="K109" s="2"/>
      <c r="L109" s="2"/>
      <c r="M109" s="2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0"/>
      <c r="G110" s="30"/>
      <c r="H110" s="30"/>
      <c r="I110" s="2"/>
      <c r="J110" s="2"/>
      <c r="K110" s="2"/>
      <c r="L110" s="2"/>
      <c r="M110" s="2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0"/>
      <c r="G111" s="30"/>
      <c r="H111" s="30"/>
      <c r="I111" s="2"/>
      <c r="J111" s="2"/>
      <c r="K111" s="2"/>
      <c r="L111" s="2"/>
      <c r="M111" s="2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0"/>
      <c r="G112" s="30"/>
      <c r="H112" s="30"/>
      <c r="I112" s="2"/>
      <c r="J112" s="2"/>
      <c r="K112" s="2"/>
      <c r="L112" s="2"/>
      <c r="M112" s="2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0"/>
      <c r="G113" s="30"/>
      <c r="H113" s="30"/>
      <c r="I113" s="2"/>
      <c r="J113" s="2"/>
      <c r="K113" s="2"/>
      <c r="L113" s="2"/>
      <c r="M113" s="2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0"/>
      <c r="G114" s="30"/>
      <c r="H114" s="30"/>
      <c r="I114" s="2"/>
      <c r="J114" s="2"/>
      <c r="K114" s="2"/>
      <c r="L114" s="2"/>
      <c r="M114" s="2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0"/>
      <c r="G115" s="30"/>
      <c r="H115" s="30"/>
      <c r="I115" s="2"/>
      <c r="J115" s="2"/>
      <c r="K115" s="2"/>
      <c r="L115" s="2"/>
      <c r="M115" s="2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0"/>
      <c r="G116" s="30"/>
      <c r="H116" s="30"/>
      <c r="I116" s="2"/>
      <c r="J116" s="2"/>
      <c r="K116" s="2"/>
      <c r="L116" s="2"/>
      <c r="M116" s="2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0"/>
      <c r="G117" s="30"/>
      <c r="H117" s="30"/>
      <c r="I117" s="2"/>
      <c r="J117" s="2"/>
      <c r="K117" s="2"/>
      <c r="L117" s="2"/>
      <c r="M117" s="2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0"/>
      <c r="G118" s="30"/>
      <c r="H118" s="30"/>
      <c r="I118" s="2"/>
      <c r="J118" s="2"/>
      <c r="K118" s="2"/>
      <c r="L118" s="2"/>
      <c r="M118" s="2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0"/>
      <c r="G119" s="30"/>
      <c r="H119" s="30"/>
      <c r="I119" s="2"/>
      <c r="J119" s="2"/>
      <c r="K119" s="2"/>
      <c r="L119" s="2"/>
      <c r="M119" s="2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0"/>
      <c r="G120" s="30"/>
      <c r="H120" s="30"/>
      <c r="I120" s="2"/>
      <c r="J120" s="2"/>
      <c r="K120" s="2"/>
      <c r="L120" s="2"/>
      <c r="M120" s="2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0"/>
      <c r="G121" s="30"/>
      <c r="H121" s="30"/>
      <c r="I121" s="2"/>
      <c r="J121" s="2"/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H121">
    <cfRule type="expression" dxfId="6" priority="1">
      <formula>MOD(ROW(),2)=0</formula>
    </cfRule>
  </conditionalFormatting>
  <hyperlinks>
    <hyperlink ref="X1" location="'Cover'!A1" display="Cover" xr:uid="{00000000-0004-0000-1400-000000000000}"/>
    <hyperlink ref="Y1" location="'Index'!A1" display="Index" xr:uid="{00000000-0004-0000-1400-000001000000}"/>
    <hyperlink ref="Z1" location="'Executive Dashboard'!A1" display="Dashboard" xr:uid="{00000000-0004-0000-1400-000002000000}"/>
    <hyperlink ref="AA1" location="'Live KPI Overview'!A1" display="Analytics" xr:uid="{00000000-0004-0000-14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50"/>
  <sheetViews>
    <sheetView showGridLines="0" workbookViewId="0">
      <pane ySplit="1" topLeftCell="A104" activePane="bottomLeft" state="frozen"/>
      <selection pane="bottomLeft" sqref="A1:F121"/>
    </sheetView>
  </sheetViews>
  <sheetFormatPr defaultRowHeight="13.8"/>
  <cols>
    <col min="1" max="2" width="17" customWidth="1"/>
    <col min="3" max="3" width="17.296875" customWidth="1"/>
    <col min="4" max="5" width="18.296875" customWidth="1"/>
    <col min="6" max="6" width="17" customWidth="1"/>
    <col min="7" max="21" width="19" customWidth="1"/>
    <col min="24" max="27" width="13" customWidth="1"/>
  </cols>
  <sheetData>
    <row r="1" spans="1:27" ht="34.950000000000003" customHeight="1">
      <c r="A1" s="29" t="s">
        <v>256</v>
      </c>
      <c r="B1" s="29" t="s">
        <v>170</v>
      </c>
      <c r="C1" s="29" t="s">
        <v>257</v>
      </c>
      <c r="D1" s="29" t="s">
        <v>175</v>
      </c>
      <c r="E1" s="29" t="s">
        <v>178</v>
      </c>
      <c r="F1" s="29" t="s">
        <v>238</v>
      </c>
      <c r="G1" s="4"/>
      <c r="H1" s="4"/>
      <c r="I1" s="4"/>
      <c r="J1" s="4"/>
      <c r="K1" s="4"/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/>
      <c r="B2" s="30"/>
      <c r="C2" s="30"/>
      <c r="D2" s="30"/>
      <c r="E2" s="30"/>
      <c r="F2" s="30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/>
      <c r="B3" s="30"/>
      <c r="C3" s="30"/>
      <c r="D3" s="30"/>
      <c r="E3" s="30"/>
      <c r="F3" s="30"/>
      <c r="G3" s="2"/>
      <c r="H3" s="2"/>
      <c r="I3" s="2"/>
      <c r="J3" s="2"/>
      <c r="K3" s="2"/>
      <c r="L3" s="2"/>
      <c r="M3" s="2"/>
      <c r="N3" s="2"/>
      <c r="O3" s="2"/>
      <c r="P3" s="2"/>
    </row>
    <row r="4" spans="1:27" ht="22.95" customHeight="1">
      <c r="A4" s="30"/>
      <c r="B4" s="30"/>
      <c r="C4" s="30"/>
      <c r="D4" s="30"/>
      <c r="E4" s="30"/>
      <c r="F4" s="30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7" ht="22.95" customHeight="1">
      <c r="A5" s="30"/>
      <c r="B5" s="30"/>
      <c r="C5" s="30"/>
      <c r="D5" s="30"/>
      <c r="E5" s="30"/>
      <c r="F5" s="30"/>
      <c r="G5" s="2"/>
      <c r="H5" s="2"/>
      <c r="I5" s="2"/>
      <c r="J5" s="2"/>
      <c r="K5" s="2"/>
      <c r="L5" s="2"/>
      <c r="M5" s="2"/>
      <c r="N5" s="2"/>
      <c r="O5" s="2"/>
      <c r="P5" s="2"/>
    </row>
    <row r="6" spans="1:27" ht="22.95" customHeight="1">
      <c r="A6" s="30"/>
      <c r="B6" s="30"/>
      <c r="C6" s="30"/>
      <c r="D6" s="30"/>
      <c r="E6" s="30"/>
      <c r="F6" s="30"/>
      <c r="G6" s="2"/>
      <c r="H6" s="2"/>
      <c r="I6" s="2"/>
      <c r="J6" s="2"/>
      <c r="K6" s="2"/>
      <c r="L6" s="2"/>
      <c r="M6" s="2"/>
      <c r="N6" s="2"/>
      <c r="O6" s="2"/>
      <c r="P6" s="2"/>
    </row>
    <row r="7" spans="1:27" ht="22.95" customHeight="1">
      <c r="A7" s="30"/>
      <c r="B7" s="30"/>
      <c r="C7" s="30"/>
      <c r="D7" s="30"/>
      <c r="E7" s="30"/>
      <c r="F7" s="30"/>
      <c r="G7" s="2"/>
      <c r="H7" s="2"/>
      <c r="I7" s="2"/>
      <c r="J7" s="2"/>
      <c r="K7" s="2"/>
      <c r="L7" s="2"/>
      <c r="M7" s="2"/>
      <c r="N7" s="2"/>
      <c r="O7" s="2"/>
      <c r="P7" s="2"/>
    </row>
    <row r="8" spans="1:27" ht="22.95" customHeight="1">
      <c r="A8" s="30"/>
      <c r="B8" s="30"/>
      <c r="C8" s="30"/>
      <c r="D8" s="30"/>
      <c r="E8" s="30"/>
      <c r="F8" s="30"/>
      <c r="G8" s="2"/>
      <c r="H8" s="2"/>
      <c r="I8" s="2"/>
      <c r="J8" s="2"/>
      <c r="K8" s="2"/>
      <c r="L8" s="2"/>
      <c r="M8" s="2"/>
      <c r="N8" s="2"/>
      <c r="O8" s="2"/>
      <c r="P8" s="2"/>
    </row>
    <row r="9" spans="1:27" ht="22.95" customHeight="1">
      <c r="A9" s="30"/>
      <c r="B9" s="30"/>
      <c r="C9" s="30"/>
      <c r="D9" s="30"/>
      <c r="E9" s="30"/>
      <c r="F9" s="30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0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0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0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0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0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0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0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0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0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0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0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0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0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0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0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0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0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0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0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0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0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0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0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0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0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0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0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0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0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0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0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0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0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0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0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0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0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0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0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0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0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0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0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0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0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0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0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0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0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0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0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0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0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0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0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0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0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0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0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0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0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0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0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0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0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0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0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0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0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0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0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0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0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0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0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0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0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0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0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0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0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0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0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0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0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0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0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0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0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0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0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0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0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0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0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0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0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0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0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0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0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0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0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0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0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0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0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0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0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0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0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0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F121">
    <cfRule type="expression" dxfId="5" priority="1">
      <formula>MOD(ROW(),2)=0</formula>
    </cfRule>
  </conditionalFormatting>
  <hyperlinks>
    <hyperlink ref="X1" location="'Cover'!A1" display="Cover" xr:uid="{00000000-0004-0000-1500-000000000000}"/>
    <hyperlink ref="Y1" location="'Index'!A1" display="Index" xr:uid="{00000000-0004-0000-1500-000001000000}"/>
    <hyperlink ref="Z1" location="'Executive Dashboard'!A1" display="Dashboard" xr:uid="{00000000-0004-0000-1500-000002000000}"/>
    <hyperlink ref="AA1" location="'Live KPI Overview'!A1" display="Analytics" xr:uid="{00000000-0004-0000-15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A150"/>
  <sheetViews>
    <sheetView showGridLines="0" workbookViewId="0">
      <pane ySplit="1" topLeftCell="A104" activePane="bottomLeft" state="frozen"/>
      <selection pane="bottomLeft" sqref="A1:G121"/>
    </sheetView>
  </sheetViews>
  <sheetFormatPr defaultRowHeight="13.8"/>
  <cols>
    <col min="1" max="5" width="17" customWidth="1"/>
    <col min="6" max="6" width="34" customWidth="1"/>
    <col min="7" max="7" width="17" customWidth="1"/>
    <col min="8" max="21" width="19" customWidth="1"/>
    <col min="24" max="27" width="13" customWidth="1"/>
  </cols>
  <sheetData>
    <row r="1" spans="1:27" ht="34.950000000000003" customHeight="1">
      <c r="A1" s="29" t="s">
        <v>258</v>
      </c>
      <c r="B1" s="29" t="s">
        <v>259</v>
      </c>
      <c r="C1" s="29" t="s">
        <v>260</v>
      </c>
      <c r="D1" s="29" t="s">
        <v>261</v>
      </c>
      <c r="E1" s="29" t="s">
        <v>262</v>
      </c>
      <c r="F1" s="29" t="s">
        <v>263</v>
      </c>
      <c r="G1" s="29" t="s">
        <v>264</v>
      </c>
      <c r="H1" s="4"/>
      <c r="I1" s="4"/>
      <c r="J1" s="4"/>
      <c r="K1" s="4"/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/>
      <c r="B2" s="30"/>
      <c r="C2" s="30"/>
      <c r="D2" s="30"/>
      <c r="E2" s="30"/>
      <c r="F2" s="30"/>
      <c r="G2" s="30"/>
      <c r="H2" s="7"/>
      <c r="I2" s="7"/>
      <c r="J2" s="7"/>
      <c r="K2" s="7"/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/>
      <c r="B3" s="30"/>
      <c r="C3" s="30"/>
      <c r="D3" s="30"/>
      <c r="E3" s="30"/>
      <c r="F3" s="30"/>
      <c r="G3" s="30"/>
      <c r="H3" s="2"/>
      <c r="I3" s="2"/>
      <c r="J3" s="2"/>
      <c r="K3" s="2"/>
      <c r="L3" s="2"/>
      <c r="M3" s="2"/>
      <c r="N3" s="2"/>
      <c r="O3" s="2"/>
      <c r="P3" s="2"/>
    </row>
    <row r="4" spans="1:27" ht="22.95" customHeight="1">
      <c r="A4" s="30"/>
      <c r="B4" s="30"/>
      <c r="C4" s="30"/>
      <c r="D4" s="30"/>
      <c r="E4" s="30"/>
      <c r="F4" s="30"/>
      <c r="G4" s="30"/>
      <c r="H4" s="2"/>
      <c r="I4" s="2"/>
      <c r="J4" s="2"/>
      <c r="K4" s="2"/>
      <c r="L4" s="2"/>
      <c r="M4" s="2"/>
      <c r="N4" s="2"/>
      <c r="O4" s="2"/>
      <c r="P4" s="2"/>
    </row>
    <row r="5" spans="1:27" ht="22.95" customHeight="1">
      <c r="A5" s="30"/>
      <c r="B5" s="30"/>
      <c r="C5" s="30"/>
      <c r="D5" s="30"/>
      <c r="E5" s="30"/>
      <c r="F5" s="30"/>
      <c r="G5" s="30"/>
      <c r="H5" s="2"/>
      <c r="I5" s="2"/>
      <c r="J5" s="2"/>
      <c r="K5" s="2"/>
      <c r="L5" s="2"/>
      <c r="M5" s="2"/>
      <c r="N5" s="2"/>
      <c r="O5" s="2"/>
      <c r="P5" s="2"/>
    </row>
    <row r="6" spans="1:27" ht="22.95" customHeight="1">
      <c r="A6" s="30"/>
      <c r="B6" s="30"/>
      <c r="C6" s="30"/>
      <c r="D6" s="30"/>
      <c r="E6" s="30"/>
      <c r="F6" s="30"/>
      <c r="G6" s="30"/>
      <c r="H6" s="2"/>
      <c r="I6" s="2"/>
      <c r="J6" s="2"/>
      <c r="K6" s="2"/>
      <c r="L6" s="2"/>
      <c r="M6" s="2"/>
      <c r="N6" s="2"/>
      <c r="O6" s="2"/>
      <c r="P6" s="2"/>
    </row>
    <row r="7" spans="1:27" ht="22.95" customHeight="1">
      <c r="A7" s="30"/>
      <c r="B7" s="30"/>
      <c r="C7" s="30"/>
      <c r="D7" s="30"/>
      <c r="E7" s="30"/>
      <c r="F7" s="30"/>
      <c r="G7" s="30"/>
      <c r="H7" s="2"/>
      <c r="I7" s="2"/>
      <c r="J7" s="2"/>
      <c r="K7" s="2"/>
      <c r="L7" s="2"/>
      <c r="M7" s="2"/>
      <c r="N7" s="2"/>
      <c r="O7" s="2"/>
      <c r="P7" s="2"/>
    </row>
    <row r="8" spans="1:27" ht="22.95" customHeight="1">
      <c r="A8" s="30"/>
      <c r="B8" s="30"/>
      <c r="C8" s="30"/>
      <c r="D8" s="30"/>
      <c r="E8" s="30"/>
      <c r="F8" s="30"/>
      <c r="G8" s="30"/>
      <c r="H8" s="2"/>
      <c r="I8" s="2"/>
      <c r="J8" s="2"/>
      <c r="K8" s="2"/>
      <c r="L8" s="2"/>
      <c r="M8" s="2"/>
      <c r="N8" s="2"/>
      <c r="O8" s="2"/>
      <c r="P8" s="2"/>
    </row>
    <row r="9" spans="1:27" ht="22.95" customHeight="1">
      <c r="A9" s="30"/>
      <c r="B9" s="30"/>
      <c r="C9" s="30"/>
      <c r="D9" s="30"/>
      <c r="E9" s="30"/>
      <c r="F9" s="30"/>
      <c r="G9" s="30"/>
      <c r="H9" s="2"/>
      <c r="I9" s="2"/>
      <c r="J9" s="2"/>
      <c r="K9" s="2"/>
      <c r="L9" s="2"/>
      <c r="M9" s="2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0"/>
      <c r="G10" s="30"/>
      <c r="H10" s="2"/>
      <c r="I10" s="2"/>
      <c r="J10" s="2"/>
      <c r="K10" s="2"/>
      <c r="L10" s="2"/>
      <c r="M10" s="2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0"/>
      <c r="G11" s="30"/>
      <c r="H11" s="2"/>
      <c r="I11" s="2"/>
      <c r="J11" s="2"/>
      <c r="K11" s="2"/>
      <c r="L11" s="2"/>
      <c r="M11" s="2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0"/>
      <c r="G12" s="30"/>
      <c r="H12" s="2"/>
      <c r="I12" s="2"/>
      <c r="J12" s="2"/>
      <c r="K12" s="2"/>
      <c r="L12" s="2"/>
      <c r="M12" s="2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0"/>
      <c r="G13" s="30"/>
      <c r="H13" s="2"/>
      <c r="I13" s="2"/>
      <c r="J13" s="2"/>
      <c r="K13" s="2"/>
      <c r="L13" s="2"/>
      <c r="M13" s="2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0"/>
      <c r="G14" s="30"/>
      <c r="H14" s="2"/>
      <c r="I14" s="2"/>
      <c r="J14" s="2"/>
      <c r="K14" s="2"/>
      <c r="L14" s="2"/>
      <c r="M14" s="2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0"/>
      <c r="G15" s="30"/>
      <c r="H15" s="2"/>
      <c r="I15" s="2"/>
      <c r="J15" s="2"/>
      <c r="K15" s="2"/>
      <c r="L15" s="2"/>
      <c r="M15" s="2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0"/>
      <c r="G16" s="30"/>
      <c r="H16" s="2"/>
      <c r="I16" s="2"/>
      <c r="J16" s="2"/>
      <c r="K16" s="2"/>
      <c r="L16" s="2"/>
      <c r="M16" s="2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0"/>
      <c r="G17" s="30"/>
      <c r="H17" s="2"/>
      <c r="I17" s="2"/>
      <c r="J17" s="2"/>
      <c r="K17" s="2"/>
      <c r="L17" s="2"/>
      <c r="M17" s="2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0"/>
      <c r="G18" s="30"/>
      <c r="H18" s="2"/>
      <c r="I18" s="2"/>
      <c r="J18" s="2"/>
      <c r="K18" s="2"/>
      <c r="L18" s="2"/>
      <c r="M18" s="2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0"/>
      <c r="G19" s="30"/>
      <c r="H19" s="2"/>
      <c r="I19" s="2"/>
      <c r="J19" s="2"/>
      <c r="K19" s="2"/>
      <c r="L19" s="2"/>
      <c r="M19" s="2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0"/>
      <c r="G20" s="30"/>
      <c r="H20" s="2"/>
      <c r="I20" s="2"/>
      <c r="J20" s="2"/>
      <c r="K20" s="2"/>
      <c r="L20" s="2"/>
      <c r="M20" s="2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0"/>
      <c r="G21" s="30"/>
      <c r="H21" s="2"/>
      <c r="I21" s="2"/>
      <c r="J21" s="2"/>
      <c r="K21" s="2"/>
      <c r="L21" s="2"/>
      <c r="M21" s="2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0"/>
      <c r="G22" s="30"/>
      <c r="H22" s="2"/>
      <c r="I22" s="2"/>
      <c r="J22" s="2"/>
      <c r="K22" s="2"/>
      <c r="L22" s="2"/>
      <c r="M22" s="2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0"/>
      <c r="G23" s="30"/>
      <c r="H23" s="2"/>
      <c r="I23" s="2"/>
      <c r="J23" s="2"/>
      <c r="K23" s="2"/>
      <c r="L23" s="2"/>
      <c r="M23" s="2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0"/>
      <c r="G24" s="30"/>
      <c r="H24" s="2"/>
      <c r="I24" s="2"/>
      <c r="J24" s="2"/>
      <c r="K24" s="2"/>
      <c r="L24" s="2"/>
      <c r="M24" s="2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0"/>
      <c r="G25" s="30"/>
      <c r="H25" s="2"/>
      <c r="I25" s="2"/>
      <c r="J25" s="2"/>
      <c r="K25" s="2"/>
      <c r="L25" s="2"/>
      <c r="M25" s="2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0"/>
      <c r="G26" s="30"/>
      <c r="H26" s="2"/>
      <c r="I26" s="2"/>
      <c r="J26" s="2"/>
      <c r="K26" s="2"/>
      <c r="L26" s="2"/>
      <c r="M26" s="2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0"/>
      <c r="G27" s="30"/>
      <c r="H27" s="2"/>
      <c r="I27" s="2"/>
      <c r="J27" s="2"/>
      <c r="K27" s="2"/>
      <c r="L27" s="2"/>
      <c r="M27" s="2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0"/>
      <c r="G28" s="30"/>
      <c r="H28" s="2"/>
      <c r="I28" s="2"/>
      <c r="J28" s="2"/>
      <c r="K28" s="2"/>
      <c r="L28" s="2"/>
      <c r="M28" s="2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0"/>
      <c r="G29" s="30"/>
      <c r="H29" s="2"/>
      <c r="I29" s="2"/>
      <c r="J29" s="2"/>
      <c r="K29" s="2"/>
      <c r="L29" s="2"/>
      <c r="M29" s="2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0"/>
      <c r="G30" s="30"/>
      <c r="H30" s="2"/>
      <c r="I30" s="2"/>
      <c r="J30" s="2"/>
      <c r="K30" s="2"/>
      <c r="L30" s="2"/>
      <c r="M30" s="2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0"/>
      <c r="G31" s="30"/>
      <c r="H31" s="2"/>
      <c r="I31" s="2"/>
      <c r="J31" s="2"/>
      <c r="K31" s="2"/>
      <c r="L31" s="2"/>
      <c r="M31" s="2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0"/>
      <c r="G32" s="30"/>
      <c r="H32" s="2"/>
      <c r="I32" s="2"/>
      <c r="J32" s="2"/>
      <c r="K32" s="2"/>
      <c r="L32" s="2"/>
      <c r="M32" s="2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0"/>
      <c r="G33" s="30"/>
      <c r="H33" s="2"/>
      <c r="I33" s="2"/>
      <c r="J33" s="2"/>
      <c r="K33" s="2"/>
      <c r="L33" s="2"/>
      <c r="M33" s="2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0"/>
      <c r="G34" s="30"/>
      <c r="H34" s="2"/>
      <c r="I34" s="2"/>
      <c r="J34" s="2"/>
      <c r="K34" s="2"/>
      <c r="L34" s="2"/>
      <c r="M34" s="2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0"/>
      <c r="G35" s="30"/>
      <c r="H35" s="2"/>
      <c r="I35" s="2"/>
      <c r="J35" s="2"/>
      <c r="K35" s="2"/>
      <c r="L35" s="2"/>
      <c r="M35" s="2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0"/>
      <c r="G36" s="30"/>
      <c r="H36" s="2"/>
      <c r="I36" s="2"/>
      <c r="J36" s="2"/>
      <c r="K36" s="2"/>
      <c r="L36" s="2"/>
      <c r="M36" s="2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0"/>
      <c r="G37" s="30"/>
      <c r="H37" s="2"/>
      <c r="I37" s="2"/>
      <c r="J37" s="2"/>
      <c r="K37" s="2"/>
      <c r="L37" s="2"/>
      <c r="M37" s="2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0"/>
      <c r="G38" s="30"/>
      <c r="H38" s="2"/>
      <c r="I38" s="2"/>
      <c r="J38" s="2"/>
      <c r="K38" s="2"/>
      <c r="L38" s="2"/>
      <c r="M38" s="2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0"/>
      <c r="G39" s="30"/>
      <c r="H39" s="2"/>
      <c r="I39" s="2"/>
      <c r="J39" s="2"/>
      <c r="K39" s="2"/>
      <c r="L39" s="2"/>
      <c r="M39" s="2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0"/>
      <c r="G40" s="30"/>
      <c r="H40" s="2"/>
      <c r="I40" s="2"/>
      <c r="J40" s="2"/>
      <c r="K40" s="2"/>
      <c r="L40" s="2"/>
      <c r="M40" s="2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0"/>
      <c r="G41" s="30"/>
      <c r="H41" s="2"/>
      <c r="I41" s="2"/>
      <c r="J41" s="2"/>
      <c r="K41" s="2"/>
      <c r="L41" s="2"/>
      <c r="M41" s="2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0"/>
      <c r="G42" s="30"/>
      <c r="H42" s="2"/>
      <c r="I42" s="2"/>
      <c r="J42" s="2"/>
      <c r="K42" s="2"/>
      <c r="L42" s="2"/>
      <c r="M42" s="2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0"/>
      <c r="G43" s="30"/>
      <c r="H43" s="2"/>
      <c r="I43" s="2"/>
      <c r="J43" s="2"/>
      <c r="K43" s="2"/>
      <c r="L43" s="2"/>
      <c r="M43" s="2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0"/>
      <c r="G44" s="30"/>
      <c r="H44" s="2"/>
      <c r="I44" s="2"/>
      <c r="J44" s="2"/>
      <c r="K44" s="2"/>
      <c r="L44" s="2"/>
      <c r="M44" s="2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0"/>
      <c r="G45" s="30"/>
      <c r="H45" s="2"/>
      <c r="I45" s="2"/>
      <c r="J45" s="2"/>
      <c r="K45" s="2"/>
      <c r="L45" s="2"/>
      <c r="M45" s="2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0"/>
      <c r="G46" s="30"/>
      <c r="H46" s="2"/>
      <c r="I46" s="2"/>
      <c r="J46" s="2"/>
      <c r="K46" s="2"/>
      <c r="L46" s="2"/>
      <c r="M46" s="2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0"/>
      <c r="G47" s="30"/>
      <c r="H47" s="2"/>
      <c r="I47" s="2"/>
      <c r="J47" s="2"/>
      <c r="K47" s="2"/>
      <c r="L47" s="2"/>
      <c r="M47" s="2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0"/>
      <c r="G48" s="30"/>
      <c r="H48" s="2"/>
      <c r="I48" s="2"/>
      <c r="J48" s="2"/>
      <c r="K48" s="2"/>
      <c r="L48" s="2"/>
      <c r="M48" s="2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0"/>
      <c r="G49" s="30"/>
      <c r="H49" s="2"/>
      <c r="I49" s="2"/>
      <c r="J49" s="2"/>
      <c r="K49" s="2"/>
      <c r="L49" s="2"/>
      <c r="M49" s="2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0"/>
      <c r="G50" s="30"/>
      <c r="H50" s="2"/>
      <c r="I50" s="2"/>
      <c r="J50" s="2"/>
      <c r="K50" s="2"/>
      <c r="L50" s="2"/>
      <c r="M50" s="2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0"/>
      <c r="G51" s="30"/>
      <c r="H51" s="2"/>
      <c r="I51" s="2"/>
      <c r="J51" s="2"/>
      <c r="K51" s="2"/>
      <c r="L51" s="2"/>
      <c r="M51" s="2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0"/>
      <c r="G52" s="30"/>
      <c r="H52" s="2"/>
      <c r="I52" s="2"/>
      <c r="J52" s="2"/>
      <c r="K52" s="2"/>
      <c r="L52" s="2"/>
      <c r="M52" s="2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0"/>
      <c r="G53" s="30"/>
      <c r="H53" s="2"/>
      <c r="I53" s="2"/>
      <c r="J53" s="2"/>
      <c r="K53" s="2"/>
      <c r="L53" s="2"/>
      <c r="M53" s="2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0"/>
      <c r="G54" s="30"/>
      <c r="H54" s="2"/>
      <c r="I54" s="2"/>
      <c r="J54" s="2"/>
      <c r="K54" s="2"/>
      <c r="L54" s="2"/>
      <c r="M54" s="2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0"/>
      <c r="G55" s="30"/>
      <c r="H55" s="2"/>
      <c r="I55" s="2"/>
      <c r="J55" s="2"/>
      <c r="K55" s="2"/>
      <c r="L55" s="2"/>
      <c r="M55" s="2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0"/>
      <c r="G56" s="30"/>
      <c r="H56" s="2"/>
      <c r="I56" s="2"/>
      <c r="J56" s="2"/>
      <c r="K56" s="2"/>
      <c r="L56" s="2"/>
      <c r="M56" s="2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0"/>
      <c r="G57" s="30"/>
      <c r="H57" s="2"/>
      <c r="I57" s="2"/>
      <c r="J57" s="2"/>
      <c r="K57" s="2"/>
      <c r="L57" s="2"/>
      <c r="M57" s="2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0"/>
      <c r="G58" s="30"/>
      <c r="H58" s="2"/>
      <c r="I58" s="2"/>
      <c r="J58" s="2"/>
      <c r="K58" s="2"/>
      <c r="L58" s="2"/>
      <c r="M58" s="2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0"/>
      <c r="G59" s="30"/>
      <c r="H59" s="2"/>
      <c r="I59" s="2"/>
      <c r="J59" s="2"/>
      <c r="K59" s="2"/>
      <c r="L59" s="2"/>
      <c r="M59" s="2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0"/>
      <c r="G60" s="30"/>
      <c r="H60" s="2"/>
      <c r="I60" s="2"/>
      <c r="J60" s="2"/>
      <c r="K60" s="2"/>
      <c r="L60" s="2"/>
      <c r="M60" s="2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0"/>
      <c r="G61" s="30"/>
      <c r="H61" s="2"/>
      <c r="I61" s="2"/>
      <c r="J61" s="2"/>
      <c r="K61" s="2"/>
      <c r="L61" s="2"/>
      <c r="M61" s="2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0"/>
      <c r="G62" s="30"/>
      <c r="H62" s="2"/>
      <c r="I62" s="2"/>
      <c r="J62" s="2"/>
      <c r="K62" s="2"/>
      <c r="L62" s="2"/>
      <c r="M62" s="2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0"/>
      <c r="G63" s="30"/>
      <c r="H63" s="2"/>
      <c r="I63" s="2"/>
      <c r="J63" s="2"/>
      <c r="K63" s="2"/>
      <c r="L63" s="2"/>
      <c r="M63" s="2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0"/>
      <c r="G64" s="30"/>
      <c r="H64" s="2"/>
      <c r="I64" s="2"/>
      <c r="J64" s="2"/>
      <c r="K64" s="2"/>
      <c r="L64" s="2"/>
      <c r="M64" s="2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0"/>
      <c r="G65" s="30"/>
      <c r="H65" s="2"/>
      <c r="I65" s="2"/>
      <c r="J65" s="2"/>
      <c r="K65" s="2"/>
      <c r="L65" s="2"/>
      <c r="M65" s="2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0"/>
      <c r="G66" s="30"/>
      <c r="H66" s="2"/>
      <c r="I66" s="2"/>
      <c r="J66" s="2"/>
      <c r="K66" s="2"/>
      <c r="L66" s="2"/>
      <c r="M66" s="2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0"/>
      <c r="G67" s="30"/>
      <c r="H67" s="2"/>
      <c r="I67" s="2"/>
      <c r="J67" s="2"/>
      <c r="K67" s="2"/>
      <c r="L67" s="2"/>
      <c r="M67" s="2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0"/>
      <c r="G68" s="30"/>
      <c r="H68" s="2"/>
      <c r="I68" s="2"/>
      <c r="J68" s="2"/>
      <c r="K68" s="2"/>
      <c r="L68" s="2"/>
      <c r="M68" s="2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0"/>
      <c r="G69" s="30"/>
      <c r="H69" s="2"/>
      <c r="I69" s="2"/>
      <c r="J69" s="2"/>
      <c r="K69" s="2"/>
      <c r="L69" s="2"/>
      <c r="M69" s="2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0"/>
      <c r="G70" s="30"/>
      <c r="H70" s="2"/>
      <c r="I70" s="2"/>
      <c r="J70" s="2"/>
      <c r="K70" s="2"/>
      <c r="L70" s="2"/>
      <c r="M70" s="2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0"/>
      <c r="G71" s="30"/>
      <c r="H71" s="2"/>
      <c r="I71" s="2"/>
      <c r="J71" s="2"/>
      <c r="K71" s="2"/>
      <c r="L71" s="2"/>
      <c r="M71" s="2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0"/>
      <c r="G72" s="30"/>
      <c r="H72" s="2"/>
      <c r="I72" s="2"/>
      <c r="J72" s="2"/>
      <c r="K72" s="2"/>
      <c r="L72" s="2"/>
      <c r="M72" s="2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0"/>
      <c r="G73" s="30"/>
      <c r="H73" s="2"/>
      <c r="I73" s="2"/>
      <c r="J73" s="2"/>
      <c r="K73" s="2"/>
      <c r="L73" s="2"/>
      <c r="M73" s="2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0"/>
      <c r="G74" s="30"/>
      <c r="H74" s="2"/>
      <c r="I74" s="2"/>
      <c r="J74" s="2"/>
      <c r="K74" s="2"/>
      <c r="L74" s="2"/>
      <c r="M74" s="2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0"/>
      <c r="G75" s="30"/>
      <c r="H75" s="2"/>
      <c r="I75" s="2"/>
      <c r="J75" s="2"/>
      <c r="K75" s="2"/>
      <c r="L75" s="2"/>
      <c r="M75" s="2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0"/>
      <c r="G76" s="30"/>
      <c r="H76" s="2"/>
      <c r="I76" s="2"/>
      <c r="J76" s="2"/>
      <c r="K76" s="2"/>
      <c r="L76" s="2"/>
      <c r="M76" s="2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0"/>
      <c r="G77" s="30"/>
      <c r="H77" s="2"/>
      <c r="I77" s="2"/>
      <c r="J77" s="2"/>
      <c r="K77" s="2"/>
      <c r="L77" s="2"/>
      <c r="M77" s="2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0"/>
      <c r="G78" s="30"/>
      <c r="H78" s="2"/>
      <c r="I78" s="2"/>
      <c r="J78" s="2"/>
      <c r="K78" s="2"/>
      <c r="L78" s="2"/>
      <c r="M78" s="2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0"/>
      <c r="G79" s="30"/>
      <c r="H79" s="2"/>
      <c r="I79" s="2"/>
      <c r="J79" s="2"/>
      <c r="K79" s="2"/>
      <c r="L79" s="2"/>
      <c r="M79" s="2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0"/>
      <c r="G80" s="30"/>
      <c r="H80" s="2"/>
      <c r="I80" s="2"/>
      <c r="J80" s="2"/>
      <c r="K80" s="2"/>
      <c r="L80" s="2"/>
      <c r="M80" s="2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0"/>
      <c r="G81" s="30"/>
      <c r="H81" s="2"/>
      <c r="I81" s="2"/>
      <c r="J81" s="2"/>
      <c r="K81" s="2"/>
      <c r="L81" s="2"/>
      <c r="M81" s="2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0"/>
      <c r="G82" s="30"/>
      <c r="H82" s="2"/>
      <c r="I82" s="2"/>
      <c r="J82" s="2"/>
      <c r="K82" s="2"/>
      <c r="L82" s="2"/>
      <c r="M82" s="2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0"/>
      <c r="G83" s="30"/>
      <c r="H83" s="2"/>
      <c r="I83" s="2"/>
      <c r="J83" s="2"/>
      <c r="K83" s="2"/>
      <c r="L83" s="2"/>
      <c r="M83" s="2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0"/>
      <c r="G84" s="30"/>
      <c r="H84" s="2"/>
      <c r="I84" s="2"/>
      <c r="J84" s="2"/>
      <c r="K84" s="2"/>
      <c r="L84" s="2"/>
      <c r="M84" s="2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0"/>
      <c r="G85" s="30"/>
      <c r="H85" s="2"/>
      <c r="I85" s="2"/>
      <c r="J85" s="2"/>
      <c r="K85" s="2"/>
      <c r="L85" s="2"/>
      <c r="M85" s="2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0"/>
      <c r="G86" s="30"/>
      <c r="H86" s="2"/>
      <c r="I86" s="2"/>
      <c r="J86" s="2"/>
      <c r="K86" s="2"/>
      <c r="L86" s="2"/>
      <c r="M86" s="2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0"/>
      <c r="G87" s="30"/>
      <c r="H87" s="2"/>
      <c r="I87" s="2"/>
      <c r="J87" s="2"/>
      <c r="K87" s="2"/>
      <c r="L87" s="2"/>
      <c r="M87" s="2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0"/>
      <c r="G88" s="30"/>
      <c r="H88" s="2"/>
      <c r="I88" s="2"/>
      <c r="J88" s="2"/>
      <c r="K88" s="2"/>
      <c r="L88" s="2"/>
      <c r="M88" s="2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0"/>
      <c r="G89" s="30"/>
      <c r="H89" s="2"/>
      <c r="I89" s="2"/>
      <c r="J89" s="2"/>
      <c r="K89" s="2"/>
      <c r="L89" s="2"/>
      <c r="M89" s="2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0"/>
      <c r="G90" s="30"/>
      <c r="H90" s="2"/>
      <c r="I90" s="2"/>
      <c r="J90" s="2"/>
      <c r="K90" s="2"/>
      <c r="L90" s="2"/>
      <c r="M90" s="2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0"/>
      <c r="G91" s="30"/>
      <c r="H91" s="2"/>
      <c r="I91" s="2"/>
      <c r="J91" s="2"/>
      <c r="K91" s="2"/>
      <c r="L91" s="2"/>
      <c r="M91" s="2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0"/>
      <c r="G92" s="30"/>
      <c r="H92" s="2"/>
      <c r="I92" s="2"/>
      <c r="J92" s="2"/>
      <c r="K92" s="2"/>
      <c r="L92" s="2"/>
      <c r="M92" s="2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0"/>
      <c r="G93" s="30"/>
      <c r="H93" s="2"/>
      <c r="I93" s="2"/>
      <c r="J93" s="2"/>
      <c r="K93" s="2"/>
      <c r="L93" s="2"/>
      <c r="M93" s="2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0"/>
      <c r="G94" s="30"/>
      <c r="H94" s="2"/>
      <c r="I94" s="2"/>
      <c r="J94" s="2"/>
      <c r="K94" s="2"/>
      <c r="L94" s="2"/>
      <c r="M94" s="2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0"/>
      <c r="G95" s="30"/>
      <c r="H95" s="2"/>
      <c r="I95" s="2"/>
      <c r="J95" s="2"/>
      <c r="K95" s="2"/>
      <c r="L95" s="2"/>
      <c r="M95" s="2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0"/>
      <c r="G96" s="30"/>
      <c r="H96" s="2"/>
      <c r="I96" s="2"/>
      <c r="J96" s="2"/>
      <c r="K96" s="2"/>
      <c r="L96" s="2"/>
      <c r="M96" s="2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0"/>
      <c r="G97" s="30"/>
      <c r="H97" s="2"/>
      <c r="I97" s="2"/>
      <c r="J97" s="2"/>
      <c r="K97" s="2"/>
      <c r="L97" s="2"/>
      <c r="M97" s="2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0"/>
      <c r="G98" s="30"/>
      <c r="H98" s="2"/>
      <c r="I98" s="2"/>
      <c r="J98" s="2"/>
      <c r="K98" s="2"/>
      <c r="L98" s="2"/>
      <c r="M98" s="2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0"/>
      <c r="G99" s="30"/>
      <c r="H99" s="2"/>
      <c r="I99" s="2"/>
      <c r="J99" s="2"/>
      <c r="K99" s="2"/>
      <c r="L99" s="2"/>
      <c r="M99" s="2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0"/>
      <c r="G100" s="30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0"/>
      <c r="G101" s="30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0"/>
      <c r="G102" s="30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0"/>
      <c r="G103" s="30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0"/>
      <c r="G104" s="30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0"/>
      <c r="G105" s="30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0"/>
      <c r="G106" s="30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0"/>
      <c r="G107" s="30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0"/>
      <c r="G108" s="30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0"/>
      <c r="G109" s="30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0"/>
      <c r="G110" s="30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0"/>
      <c r="G111" s="30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0"/>
      <c r="G112" s="30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0"/>
      <c r="G113" s="30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0"/>
      <c r="G114" s="30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0"/>
      <c r="G115" s="30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0"/>
      <c r="G116" s="30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0"/>
      <c r="G117" s="30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0"/>
      <c r="G118" s="30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0"/>
      <c r="G119" s="30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0"/>
      <c r="G120" s="30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0"/>
      <c r="G121" s="30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G121">
    <cfRule type="expression" dxfId="4" priority="1">
      <formula>MOD(ROW(),2)=0</formula>
    </cfRule>
  </conditionalFormatting>
  <hyperlinks>
    <hyperlink ref="X1" location="'Cover'!A1" display="Cover" xr:uid="{00000000-0004-0000-1600-000000000000}"/>
    <hyperlink ref="Y1" location="'Index'!A1" display="Index" xr:uid="{00000000-0004-0000-1600-000001000000}"/>
    <hyperlink ref="Z1" location="'Executive Dashboard'!A1" display="Dashboard" xr:uid="{00000000-0004-0000-1600-000002000000}"/>
    <hyperlink ref="AA1" location="'Live KPI Overview'!A1" display="Analytics" xr:uid="{00000000-0004-0000-16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A150"/>
  <sheetViews>
    <sheetView showGridLines="0" workbookViewId="0">
      <pane ySplit="1" topLeftCell="A104" activePane="bottomLeft" state="frozen"/>
      <selection pane="bottomLeft" sqref="A1:F121"/>
    </sheetView>
  </sheetViews>
  <sheetFormatPr defaultRowHeight="13.8"/>
  <cols>
    <col min="1" max="1" width="17" customWidth="1"/>
    <col min="2" max="2" width="34" customWidth="1"/>
    <col min="3" max="6" width="17" customWidth="1"/>
    <col min="7" max="21" width="19" customWidth="1"/>
    <col min="24" max="27" width="13" customWidth="1"/>
  </cols>
  <sheetData>
    <row r="1" spans="1:27" ht="34.950000000000003" customHeight="1">
      <c r="A1" s="29" t="s">
        <v>265</v>
      </c>
      <c r="B1" s="29" t="s">
        <v>266</v>
      </c>
      <c r="C1" s="29" t="s">
        <v>267</v>
      </c>
      <c r="D1" s="29" t="s">
        <v>268</v>
      </c>
      <c r="E1" s="29" t="s">
        <v>149</v>
      </c>
      <c r="F1" s="29" t="s">
        <v>163</v>
      </c>
      <c r="G1" s="4"/>
      <c r="H1" s="4"/>
      <c r="I1" s="4"/>
      <c r="J1" s="4"/>
      <c r="K1" s="4"/>
      <c r="L1" s="4"/>
      <c r="M1" s="4"/>
      <c r="N1" s="4"/>
      <c r="O1" s="4"/>
      <c r="P1" s="4"/>
      <c r="Q1" s="9"/>
      <c r="R1" s="9"/>
      <c r="S1" s="9"/>
      <c r="T1" s="9"/>
      <c r="U1" s="9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2.95" customHeight="1">
      <c r="A2" s="30" t="s">
        <v>269</v>
      </c>
      <c r="B2" s="30" t="s">
        <v>270</v>
      </c>
      <c r="C2" s="30" t="s">
        <v>271</v>
      </c>
      <c r="D2" s="30" t="s">
        <v>272</v>
      </c>
      <c r="E2" s="30" t="s">
        <v>273</v>
      </c>
      <c r="F2" s="30" t="s">
        <v>274</v>
      </c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8"/>
      <c r="S2" s="8"/>
      <c r="T2" s="8"/>
      <c r="U2" s="8"/>
    </row>
    <row r="3" spans="1:27" ht="22.95" customHeight="1">
      <c r="A3" s="30" t="s">
        <v>275</v>
      </c>
      <c r="B3" s="30" t="s">
        <v>276</v>
      </c>
      <c r="C3" s="30" t="s">
        <v>277</v>
      </c>
      <c r="D3" s="30" t="s">
        <v>278</v>
      </c>
      <c r="E3" s="30" t="s">
        <v>279</v>
      </c>
      <c r="F3" s="30" t="s">
        <v>280</v>
      </c>
      <c r="G3" s="2"/>
      <c r="H3" s="2"/>
      <c r="I3" s="2"/>
      <c r="J3" s="2"/>
      <c r="K3" s="2"/>
      <c r="L3" s="2"/>
      <c r="M3" s="2"/>
      <c r="N3" s="2"/>
      <c r="O3" s="2"/>
      <c r="P3" s="2"/>
    </row>
    <row r="4" spans="1:27" ht="22.95" customHeight="1">
      <c r="A4" s="30" t="s">
        <v>281</v>
      </c>
      <c r="B4" s="30" t="s">
        <v>282</v>
      </c>
      <c r="C4" s="30" t="s">
        <v>283</v>
      </c>
      <c r="D4" s="30" t="s">
        <v>284</v>
      </c>
      <c r="E4" s="30" t="s">
        <v>285</v>
      </c>
      <c r="F4" s="30" t="s">
        <v>286</v>
      </c>
      <c r="G4" s="2"/>
      <c r="H4" s="2"/>
      <c r="I4" s="2"/>
      <c r="J4" s="2"/>
      <c r="K4" s="2"/>
      <c r="L4" s="2"/>
      <c r="M4" s="2"/>
      <c r="N4" s="2"/>
      <c r="O4" s="2"/>
      <c r="P4" s="2"/>
    </row>
    <row r="5" spans="1:27" ht="22.95" customHeight="1">
      <c r="A5" s="30" t="s">
        <v>287</v>
      </c>
      <c r="B5" s="30" t="s">
        <v>288</v>
      </c>
      <c r="C5" s="30" t="s">
        <v>289</v>
      </c>
      <c r="D5" s="30" t="s">
        <v>290</v>
      </c>
      <c r="E5" s="30" t="s">
        <v>273</v>
      </c>
      <c r="F5" s="30" t="s">
        <v>291</v>
      </c>
      <c r="G5" s="2"/>
      <c r="H5" s="2"/>
      <c r="I5" s="2"/>
      <c r="J5" s="2"/>
      <c r="K5" s="2"/>
      <c r="L5" s="2"/>
      <c r="M5" s="2"/>
      <c r="N5" s="2"/>
      <c r="O5" s="2"/>
      <c r="P5" s="2"/>
    </row>
    <row r="6" spans="1:27" ht="22.95" customHeight="1">
      <c r="A6" s="30" t="s">
        <v>292</v>
      </c>
      <c r="B6" s="30" t="s">
        <v>293</v>
      </c>
      <c r="C6" s="30" t="s">
        <v>294</v>
      </c>
      <c r="D6" s="30" t="s">
        <v>295</v>
      </c>
      <c r="E6" s="30" t="s">
        <v>279</v>
      </c>
      <c r="F6" s="30" t="s">
        <v>296</v>
      </c>
      <c r="G6" s="2"/>
      <c r="H6" s="2"/>
      <c r="I6" s="2"/>
      <c r="J6" s="2"/>
      <c r="K6" s="2"/>
      <c r="L6" s="2"/>
      <c r="M6" s="2"/>
      <c r="N6" s="2"/>
      <c r="O6" s="2"/>
      <c r="P6" s="2"/>
    </row>
    <row r="7" spans="1:27" ht="22.95" customHeight="1">
      <c r="A7" s="30" t="s">
        <v>297</v>
      </c>
      <c r="B7" s="30" t="s">
        <v>298</v>
      </c>
      <c r="C7" s="30" t="s">
        <v>299</v>
      </c>
      <c r="D7" s="30" t="s">
        <v>300</v>
      </c>
      <c r="E7" s="30" t="s">
        <v>279</v>
      </c>
      <c r="F7" s="30" t="s">
        <v>301</v>
      </c>
      <c r="G7" s="2"/>
      <c r="H7" s="2"/>
      <c r="I7" s="2"/>
      <c r="J7" s="2"/>
      <c r="K7" s="2"/>
      <c r="L7" s="2"/>
      <c r="M7" s="2"/>
      <c r="N7" s="2"/>
      <c r="O7" s="2"/>
      <c r="P7" s="2"/>
    </row>
    <row r="8" spans="1:27" ht="22.95" customHeight="1">
      <c r="A8" s="30" t="s">
        <v>302</v>
      </c>
      <c r="B8" s="30" t="s">
        <v>303</v>
      </c>
      <c r="C8" s="30" t="s">
        <v>304</v>
      </c>
      <c r="D8" s="30" t="s">
        <v>305</v>
      </c>
      <c r="E8" s="30" t="s">
        <v>279</v>
      </c>
      <c r="F8" s="30" t="s">
        <v>306</v>
      </c>
      <c r="G8" s="2"/>
      <c r="H8" s="2"/>
      <c r="I8" s="2"/>
      <c r="J8" s="2"/>
      <c r="K8" s="2"/>
      <c r="L8" s="2"/>
      <c r="M8" s="2"/>
      <c r="N8" s="2"/>
      <c r="O8" s="2"/>
      <c r="P8" s="2"/>
    </row>
    <row r="9" spans="1:27" ht="22.95" customHeight="1">
      <c r="A9" s="30" t="s">
        <v>307</v>
      </c>
      <c r="B9" s="30" t="s">
        <v>308</v>
      </c>
      <c r="C9" s="30" t="s">
        <v>309</v>
      </c>
      <c r="D9" s="30" t="s">
        <v>310</v>
      </c>
      <c r="E9" s="30" t="s">
        <v>279</v>
      </c>
      <c r="F9" s="30" t="s">
        <v>311</v>
      </c>
      <c r="G9" s="2"/>
      <c r="H9" s="2"/>
      <c r="I9" s="2"/>
      <c r="J9" s="2"/>
      <c r="K9" s="2"/>
      <c r="L9" s="2"/>
      <c r="M9" s="2"/>
      <c r="N9" s="2"/>
      <c r="O9" s="2"/>
      <c r="P9" s="2"/>
    </row>
    <row r="10" spans="1:27" ht="22.95" customHeight="1">
      <c r="A10" s="30"/>
      <c r="B10" s="30"/>
      <c r="C10" s="30"/>
      <c r="D10" s="30"/>
      <c r="E10" s="30"/>
      <c r="F10" s="30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7" ht="22.95" customHeight="1">
      <c r="A11" s="30"/>
      <c r="B11" s="30"/>
      <c r="C11" s="30"/>
      <c r="D11" s="30"/>
      <c r="E11" s="30"/>
      <c r="F11" s="30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7" ht="22.95" customHeight="1">
      <c r="A12" s="30"/>
      <c r="B12" s="30"/>
      <c r="C12" s="30"/>
      <c r="D12" s="30"/>
      <c r="E12" s="30"/>
      <c r="F12" s="30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7" ht="22.95" customHeight="1">
      <c r="A13" s="30"/>
      <c r="B13" s="30"/>
      <c r="C13" s="30"/>
      <c r="D13" s="30"/>
      <c r="E13" s="30"/>
      <c r="F13" s="30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7" ht="22.95" customHeight="1">
      <c r="A14" s="30"/>
      <c r="B14" s="30"/>
      <c r="C14" s="30"/>
      <c r="D14" s="30"/>
      <c r="E14" s="30"/>
      <c r="F14" s="30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7" ht="22.95" customHeight="1">
      <c r="A15" s="30"/>
      <c r="B15" s="30"/>
      <c r="C15" s="30"/>
      <c r="D15" s="30"/>
      <c r="E15" s="30"/>
      <c r="F15" s="30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7" ht="22.95" customHeight="1">
      <c r="A16" s="30"/>
      <c r="B16" s="30"/>
      <c r="C16" s="30"/>
      <c r="D16" s="30"/>
      <c r="E16" s="30"/>
      <c r="F16" s="30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2.95" customHeight="1">
      <c r="A17" s="30"/>
      <c r="B17" s="30"/>
      <c r="C17" s="30"/>
      <c r="D17" s="30"/>
      <c r="E17" s="30"/>
      <c r="F17" s="30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2.95" customHeight="1">
      <c r="A18" s="30"/>
      <c r="B18" s="30"/>
      <c r="C18" s="30"/>
      <c r="D18" s="30"/>
      <c r="E18" s="30"/>
      <c r="F18" s="30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2.95" customHeight="1">
      <c r="A19" s="30"/>
      <c r="B19" s="30"/>
      <c r="C19" s="30"/>
      <c r="D19" s="30"/>
      <c r="E19" s="30"/>
      <c r="F19" s="30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2.95" customHeight="1">
      <c r="A20" s="30"/>
      <c r="B20" s="30"/>
      <c r="C20" s="30"/>
      <c r="D20" s="30"/>
      <c r="E20" s="30"/>
      <c r="F20" s="30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2.95" customHeight="1">
      <c r="A21" s="30"/>
      <c r="B21" s="30"/>
      <c r="C21" s="30"/>
      <c r="D21" s="30"/>
      <c r="E21" s="30"/>
      <c r="F21" s="30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2.95" customHeight="1">
      <c r="A22" s="30"/>
      <c r="B22" s="30"/>
      <c r="C22" s="30"/>
      <c r="D22" s="30"/>
      <c r="E22" s="30"/>
      <c r="F22" s="30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2.95" customHeight="1">
      <c r="A23" s="30"/>
      <c r="B23" s="30"/>
      <c r="C23" s="30"/>
      <c r="D23" s="30"/>
      <c r="E23" s="30"/>
      <c r="F23" s="30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2.95" customHeight="1">
      <c r="A24" s="30"/>
      <c r="B24" s="30"/>
      <c r="C24" s="30"/>
      <c r="D24" s="30"/>
      <c r="E24" s="30"/>
      <c r="F24" s="30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2.95" customHeight="1">
      <c r="A25" s="30"/>
      <c r="B25" s="30"/>
      <c r="C25" s="30"/>
      <c r="D25" s="30"/>
      <c r="E25" s="30"/>
      <c r="F25" s="30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2.95" customHeight="1">
      <c r="A26" s="30"/>
      <c r="B26" s="30"/>
      <c r="C26" s="30"/>
      <c r="D26" s="30"/>
      <c r="E26" s="30"/>
      <c r="F26" s="30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2.95" customHeight="1">
      <c r="A27" s="30"/>
      <c r="B27" s="30"/>
      <c r="C27" s="30"/>
      <c r="D27" s="30"/>
      <c r="E27" s="30"/>
      <c r="F27" s="30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22.95" customHeight="1">
      <c r="A28" s="30"/>
      <c r="B28" s="30"/>
      <c r="C28" s="30"/>
      <c r="D28" s="30"/>
      <c r="E28" s="30"/>
      <c r="F28" s="30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22.95" customHeight="1">
      <c r="A29" s="30"/>
      <c r="B29" s="30"/>
      <c r="C29" s="30"/>
      <c r="D29" s="30"/>
      <c r="E29" s="30"/>
      <c r="F29" s="30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22.95" customHeight="1">
      <c r="A30" s="30"/>
      <c r="B30" s="30"/>
      <c r="C30" s="30"/>
      <c r="D30" s="30"/>
      <c r="E30" s="30"/>
      <c r="F30" s="30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22.95" customHeight="1">
      <c r="A31" s="30"/>
      <c r="B31" s="30"/>
      <c r="C31" s="30"/>
      <c r="D31" s="30"/>
      <c r="E31" s="30"/>
      <c r="F31" s="30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ht="22.95" customHeight="1">
      <c r="A32" s="30"/>
      <c r="B32" s="30"/>
      <c r="C32" s="30"/>
      <c r="D32" s="30"/>
      <c r="E32" s="30"/>
      <c r="F32" s="30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22.95" customHeight="1">
      <c r="A33" s="30"/>
      <c r="B33" s="30"/>
      <c r="C33" s="30"/>
      <c r="D33" s="30"/>
      <c r="E33" s="30"/>
      <c r="F33" s="30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22.95" customHeight="1">
      <c r="A34" s="30"/>
      <c r="B34" s="30"/>
      <c r="C34" s="30"/>
      <c r="D34" s="30"/>
      <c r="E34" s="30"/>
      <c r="F34" s="30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22.95" customHeight="1">
      <c r="A35" s="30"/>
      <c r="B35" s="30"/>
      <c r="C35" s="30"/>
      <c r="D35" s="30"/>
      <c r="E35" s="30"/>
      <c r="F35" s="30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22.95" customHeight="1">
      <c r="A36" s="30"/>
      <c r="B36" s="30"/>
      <c r="C36" s="30"/>
      <c r="D36" s="30"/>
      <c r="E36" s="30"/>
      <c r="F36" s="30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22.95" customHeight="1">
      <c r="A37" s="30"/>
      <c r="B37" s="30"/>
      <c r="C37" s="30"/>
      <c r="D37" s="30"/>
      <c r="E37" s="30"/>
      <c r="F37" s="30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22.95" customHeight="1">
      <c r="A38" s="30"/>
      <c r="B38" s="30"/>
      <c r="C38" s="30"/>
      <c r="D38" s="30"/>
      <c r="E38" s="30"/>
      <c r="F38" s="30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22.95" customHeight="1">
      <c r="A39" s="30"/>
      <c r="B39" s="30"/>
      <c r="C39" s="30"/>
      <c r="D39" s="30"/>
      <c r="E39" s="30"/>
      <c r="F39" s="30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22.95" customHeight="1">
      <c r="A40" s="30"/>
      <c r="B40" s="30"/>
      <c r="C40" s="30"/>
      <c r="D40" s="30"/>
      <c r="E40" s="30"/>
      <c r="F40" s="30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22.95" customHeight="1">
      <c r="A41" s="30"/>
      <c r="B41" s="30"/>
      <c r="C41" s="30"/>
      <c r="D41" s="30"/>
      <c r="E41" s="30"/>
      <c r="F41" s="30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22.95" customHeight="1">
      <c r="A42" s="30"/>
      <c r="B42" s="30"/>
      <c r="C42" s="30"/>
      <c r="D42" s="30"/>
      <c r="E42" s="30"/>
      <c r="F42" s="30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22.95" customHeight="1">
      <c r="A43" s="30"/>
      <c r="B43" s="30"/>
      <c r="C43" s="30"/>
      <c r="D43" s="30"/>
      <c r="E43" s="30"/>
      <c r="F43" s="30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t="22.95" customHeight="1">
      <c r="A44" s="30"/>
      <c r="B44" s="30"/>
      <c r="C44" s="30"/>
      <c r="D44" s="30"/>
      <c r="E44" s="30"/>
      <c r="F44" s="30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22.95" customHeight="1">
      <c r="A45" s="30"/>
      <c r="B45" s="30"/>
      <c r="C45" s="30"/>
      <c r="D45" s="30"/>
      <c r="E45" s="30"/>
      <c r="F45" s="30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t="22.95" customHeight="1">
      <c r="A46" s="30"/>
      <c r="B46" s="30"/>
      <c r="C46" s="30"/>
      <c r="D46" s="30"/>
      <c r="E46" s="30"/>
      <c r="F46" s="30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22.95" customHeight="1">
      <c r="A47" s="30"/>
      <c r="B47" s="30"/>
      <c r="C47" s="30"/>
      <c r="D47" s="30"/>
      <c r="E47" s="30"/>
      <c r="F47" s="30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22.95" customHeight="1">
      <c r="A48" s="30"/>
      <c r="B48" s="30"/>
      <c r="C48" s="30"/>
      <c r="D48" s="30"/>
      <c r="E48" s="30"/>
      <c r="F48" s="30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ht="22.95" customHeight="1">
      <c r="A49" s="30"/>
      <c r="B49" s="30"/>
      <c r="C49" s="30"/>
      <c r="D49" s="30"/>
      <c r="E49" s="30"/>
      <c r="F49" s="30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22.95" customHeight="1">
      <c r="A50" s="30"/>
      <c r="B50" s="30"/>
      <c r="C50" s="30"/>
      <c r="D50" s="30"/>
      <c r="E50" s="30"/>
      <c r="F50" s="30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22.95" customHeight="1">
      <c r="A51" s="30"/>
      <c r="B51" s="30"/>
      <c r="C51" s="30"/>
      <c r="D51" s="30"/>
      <c r="E51" s="30"/>
      <c r="F51" s="30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t="22.95" customHeight="1">
      <c r="A52" s="30"/>
      <c r="B52" s="30"/>
      <c r="C52" s="30"/>
      <c r="D52" s="30"/>
      <c r="E52" s="30"/>
      <c r="F52" s="30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ht="22.95" customHeight="1">
      <c r="A53" s="30"/>
      <c r="B53" s="30"/>
      <c r="C53" s="30"/>
      <c r="D53" s="30"/>
      <c r="E53" s="30"/>
      <c r="F53" s="30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ht="22.95" customHeight="1">
      <c r="A54" s="30"/>
      <c r="B54" s="30"/>
      <c r="C54" s="30"/>
      <c r="D54" s="30"/>
      <c r="E54" s="30"/>
      <c r="F54" s="30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ht="22.95" customHeight="1">
      <c r="A55" s="30"/>
      <c r="B55" s="30"/>
      <c r="C55" s="30"/>
      <c r="D55" s="30"/>
      <c r="E55" s="30"/>
      <c r="F55" s="30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ht="22.95" customHeight="1">
      <c r="A56" s="30"/>
      <c r="B56" s="30"/>
      <c r="C56" s="30"/>
      <c r="D56" s="30"/>
      <c r="E56" s="30"/>
      <c r="F56" s="30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t="22.95" customHeight="1">
      <c r="A57" s="30"/>
      <c r="B57" s="30"/>
      <c r="C57" s="30"/>
      <c r="D57" s="30"/>
      <c r="E57" s="30"/>
      <c r="F57" s="30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ht="22.95" customHeight="1">
      <c r="A58" s="30"/>
      <c r="B58" s="30"/>
      <c r="C58" s="30"/>
      <c r="D58" s="30"/>
      <c r="E58" s="30"/>
      <c r="F58" s="30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ht="22.95" customHeight="1">
      <c r="A59" s="30"/>
      <c r="B59" s="30"/>
      <c r="C59" s="30"/>
      <c r="D59" s="30"/>
      <c r="E59" s="30"/>
      <c r="F59" s="30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ht="22.95" customHeight="1">
      <c r="A60" s="30"/>
      <c r="B60" s="30"/>
      <c r="C60" s="30"/>
      <c r="D60" s="30"/>
      <c r="E60" s="30"/>
      <c r="F60" s="30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ht="22.95" customHeight="1">
      <c r="A61" s="30"/>
      <c r="B61" s="30"/>
      <c r="C61" s="30"/>
      <c r="D61" s="30"/>
      <c r="E61" s="30"/>
      <c r="F61" s="30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ht="22.95" customHeight="1">
      <c r="A62" s="30"/>
      <c r="B62" s="30"/>
      <c r="C62" s="30"/>
      <c r="D62" s="30"/>
      <c r="E62" s="30"/>
      <c r="F62" s="30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t="22.95" customHeight="1">
      <c r="A63" s="30"/>
      <c r="B63" s="30"/>
      <c r="C63" s="30"/>
      <c r="D63" s="30"/>
      <c r="E63" s="30"/>
      <c r="F63" s="30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ht="22.95" customHeight="1">
      <c r="A64" s="30"/>
      <c r="B64" s="30"/>
      <c r="C64" s="30"/>
      <c r="D64" s="30"/>
      <c r="E64" s="30"/>
      <c r="F64" s="30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ht="22.95" customHeight="1">
      <c r="A65" s="30"/>
      <c r="B65" s="30"/>
      <c r="C65" s="30"/>
      <c r="D65" s="30"/>
      <c r="E65" s="30"/>
      <c r="F65" s="30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ht="22.95" customHeight="1">
      <c r="A66" s="30"/>
      <c r="B66" s="30"/>
      <c r="C66" s="30"/>
      <c r="D66" s="30"/>
      <c r="E66" s="30"/>
      <c r="F66" s="30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ht="22.95" customHeight="1">
      <c r="A67" s="30"/>
      <c r="B67" s="30"/>
      <c r="C67" s="30"/>
      <c r="D67" s="30"/>
      <c r="E67" s="30"/>
      <c r="F67" s="30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ht="22.95" customHeight="1">
      <c r="A68" s="30"/>
      <c r="B68" s="30"/>
      <c r="C68" s="30"/>
      <c r="D68" s="30"/>
      <c r="E68" s="30"/>
      <c r="F68" s="30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22.95" customHeight="1">
      <c r="A69" s="30"/>
      <c r="B69" s="30"/>
      <c r="C69" s="30"/>
      <c r="D69" s="30"/>
      <c r="E69" s="30"/>
      <c r="F69" s="30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ht="22.95" customHeight="1">
      <c r="A70" s="30"/>
      <c r="B70" s="30"/>
      <c r="C70" s="30"/>
      <c r="D70" s="30"/>
      <c r="E70" s="30"/>
      <c r="F70" s="30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ht="22.95" customHeight="1">
      <c r="A71" s="30"/>
      <c r="B71" s="30"/>
      <c r="C71" s="30"/>
      <c r="D71" s="30"/>
      <c r="E71" s="30"/>
      <c r="F71" s="30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ht="22.95" customHeight="1">
      <c r="A72" s="30"/>
      <c r="B72" s="30"/>
      <c r="C72" s="30"/>
      <c r="D72" s="30"/>
      <c r="E72" s="30"/>
      <c r="F72" s="30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ht="22.95" customHeight="1">
      <c r="A73" s="30"/>
      <c r="B73" s="30"/>
      <c r="C73" s="30"/>
      <c r="D73" s="30"/>
      <c r="E73" s="30"/>
      <c r="F73" s="30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ht="22.95" customHeight="1">
      <c r="A74" s="30"/>
      <c r="B74" s="30"/>
      <c r="C74" s="30"/>
      <c r="D74" s="30"/>
      <c r="E74" s="30"/>
      <c r="F74" s="30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ht="22.95" customHeight="1">
      <c r="A75" s="30"/>
      <c r="B75" s="30"/>
      <c r="C75" s="30"/>
      <c r="D75" s="30"/>
      <c r="E75" s="30"/>
      <c r="F75" s="30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ht="22.95" customHeight="1">
      <c r="A76" s="30"/>
      <c r="B76" s="30"/>
      <c r="C76" s="30"/>
      <c r="D76" s="30"/>
      <c r="E76" s="30"/>
      <c r="F76" s="30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ht="22.95" customHeight="1">
      <c r="A77" s="30"/>
      <c r="B77" s="30"/>
      <c r="C77" s="30"/>
      <c r="D77" s="30"/>
      <c r="E77" s="30"/>
      <c r="F77" s="30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ht="22.95" customHeight="1">
      <c r="A78" s="30"/>
      <c r="B78" s="30"/>
      <c r="C78" s="30"/>
      <c r="D78" s="30"/>
      <c r="E78" s="30"/>
      <c r="F78" s="30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ht="22.95" customHeight="1">
      <c r="A79" s="30"/>
      <c r="B79" s="30"/>
      <c r="C79" s="30"/>
      <c r="D79" s="30"/>
      <c r="E79" s="30"/>
      <c r="F79" s="30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ht="22.95" customHeight="1">
      <c r="A80" s="30"/>
      <c r="B80" s="30"/>
      <c r="C80" s="30"/>
      <c r="D80" s="30"/>
      <c r="E80" s="30"/>
      <c r="F80" s="30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ht="22.95" customHeight="1">
      <c r="A81" s="30"/>
      <c r="B81" s="30"/>
      <c r="C81" s="30"/>
      <c r="D81" s="30"/>
      <c r="E81" s="30"/>
      <c r="F81" s="30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t="22.95" customHeight="1">
      <c r="A82" s="30"/>
      <c r="B82" s="30"/>
      <c r="C82" s="30"/>
      <c r="D82" s="30"/>
      <c r="E82" s="30"/>
      <c r="F82" s="30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ht="22.95" customHeight="1">
      <c r="A83" s="30"/>
      <c r="B83" s="30"/>
      <c r="C83" s="30"/>
      <c r="D83" s="30"/>
      <c r="E83" s="30"/>
      <c r="F83" s="30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ht="22.95" customHeight="1">
      <c r="A84" s="30"/>
      <c r="B84" s="30"/>
      <c r="C84" s="30"/>
      <c r="D84" s="30"/>
      <c r="E84" s="30"/>
      <c r="F84" s="30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ht="22.95" customHeight="1">
      <c r="A85" s="30"/>
      <c r="B85" s="30"/>
      <c r="C85" s="30"/>
      <c r="D85" s="30"/>
      <c r="E85" s="30"/>
      <c r="F85" s="30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ht="22.95" customHeight="1">
      <c r="A86" s="30"/>
      <c r="B86" s="30"/>
      <c r="C86" s="30"/>
      <c r="D86" s="30"/>
      <c r="E86" s="30"/>
      <c r="F86" s="30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ht="22.95" customHeight="1">
      <c r="A87" s="30"/>
      <c r="B87" s="30"/>
      <c r="C87" s="30"/>
      <c r="D87" s="30"/>
      <c r="E87" s="30"/>
      <c r="F87" s="30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ht="22.95" customHeight="1">
      <c r="A88" s="30"/>
      <c r="B88" s="30"/>
      <c r="C88" s="30"/>
      <c r="D88" s="30"/>
      <c r="E88" s="30"/>
      <c r="F88" s="30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ht="22.95" customHeight="1">
      <c r="A89" s="30"/>
      <c r="B89" s="30"/>
      <c r="C89" s="30"/>
      <c r="D89" s="30"/>
      <c r="E89" s="30"/>
      <c r="F89" s="30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ht="22.95" customHeight="1">
      <c r="A90" s="30"/>
      <c r="B90" s="30"/>
      <c r="C90" s="30"/>
      <c r="D90" s="30"/>
      <c r="E90" s="30"/>
      <c r="F90" s="30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ht="22.95" customHeight="1">
      <c r="A91" s="30"/>
      <c r="B91" s="30"/>
      <c r="C91" s="30"/>
      <c r="D91" s="30"/>
      <c r="E91" s="30"/>
      <c r="F91" s="30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ht="22.95" customHeight="1">
      <c r="A92" s="30"/>
      <c r="B92" s="30"/>
      <c r="C92" s="30"/>
      <c r="D92" s="30"/>
      <c r="E92" s="30"/>
      <c r="F92" s="30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ht="22.95" customHeight="1">
      <c r="A93" s="30"/>
      <c r="B93" s="30"/>
      <c r="C93" s="30"/>
      <c r="D93" s="30"/>
      <c r="E93" s="30"/>
      <c r="F93" s="30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ht="22.95" customHeight="1">
      <c r="A94" s="30"/>
      <c r="B94" s="30"/>
      <c r="C94" s="30"/>
      <c r="D94" s="30"/>
      <c r="E94" s="30"/>
      <c r="F94" s="30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ht="22.95" customHeight="1">
      <c r="A95" s="30"/>
      <c r="B95" s="30"/>
      <c r="C95" s="30"/>
      <c r="D95" s="30"/>
      <c r="E95" s="30"/>
      <c r="F95" s="30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ht="22.95" customHeight="1">
      <c r="A96" s="30"/>
      <c r="B96" s="30"/>
      <c r="C96" s="30"/>
      <c r="D96" s="30"/>
      <c r="E96" s="30"/>
      <c r="F96" s="30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ht="22.95" customHeight="1">
      <c r="A97" s="30"/>
      <c r="B97" s="30"/>
      <c r="C97" s="30"/>
      <c r="D97" s="30"/>
      <c r="E97" s="30"/>
      <c r="F97" s="30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ht="22.95" customHeight="1">
      <c r="A98" s="30"/>
      <c r="B98" s="30"/>
      <c r="C98" s="30"/>
      <c r="D98" s="30"/>
      <c r="E98" s="30"/>
      <c r="F98" s="30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ht="22.95" customHeight="1">
      <c r="A99" s="30"/>
      <c r="B99" s="30"/>
      <c r="C99" s="30"/>
      <c r="D99" s="30"/>
      <c r="E99" s="30"/>
      <c r="F99" s="30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ht="22.95" customHeight="1">
      <c r="A100" s="30"/>
      <c r="B100" s="30"/>
      <c r="C100" s="30"/>
      <c r="D100" s="30"/>
      <c r="E100" s="30"/>
      <c r="F100" s="30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22.95" customHeight="1">
      <c r="A101" s="30"/>
      <c r="B101" s="30"/>
      <c r="C101" s="30"/>
      <c r="D101" s="30"/>
      <c r="E101" s="30"/>
      <c r="F101" s="30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22.95" customHeight="1">
      <c r="A102" s="30"/>
      <c r="B102" s="30"/>
      <c r="C102" s="30"/>
      <c r="D102" s="30"/>
      <c r="E102" s="30"/>
      <c r="F102" s="30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22.95" customHeight="1">
      <c r="A103" s="30"/>
      <c r="B103" s="30"/>
      <c r="C103" s="30"/>
      <c r="D103" s="30"/>
      <c r="E103" s="30"/>
      <c r="F103" s="30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22.95" customHeight="1">
      <c r="A104" s="30"/>
      <c r="B104" s="30"/>
      <c r="C104" s="30"/>
      <c r="D104" s="30"/>
      <c r="E104" s="30"/>
      <c r="F104" s="30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22.95" customHeight="1">
      <c r="A105" s="30"/>
      <c r="B105" s="30"/>
      <c r="C105" s="30"/>
      <c r="D105" s="30"/>
      <c r="E105" s="30"/>
      <c r="F105" s="30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22.95" customHeight="1">
      <c r="A106" s="30"/>
      <c r="B106" s="30"/>
      <c r="C106" s="30"/>
      <c r="D106" s="30"/>
      <c r="E106" s="30"/>
      <c r="F106" s="30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22.95" customHeight="1">
      <c r="A107" s="30"/>
      <c r="B107" s="30"/>
      <c r="C107" s="30"/>
      <c r="D107" s="30"/>
      <c r="E107" s="30"/>
      <c r="F107" s="30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22.95" customHeight="1">
      <c r="A108" s="30"/>
      <c r="B108" s="30"/>
      <c r="C108" s="30"/>
      <c r="D108" s="30"/>
      <c r="E108" s="30"/>
      <c r="F108" s="30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22.95" customHeight="1">
      <c r="A109" s="30"/>
      <c r="B109" s="30"/>
      <c r="C109" s="30"/>
      <c r="D109" s="30"/>
      <c r="E109" s="30"/>
      <c r="F109" s="30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22.95" customHeight="1">
      <c r="A110" s="30"/>
      <c r="B110" s="30"/>
      <c r="C110" s="30"/>
      <c r="D110" s="30"/>
      <c r="E110" s="30"/>
      <c r="F110" s="30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22.95" customHeight="1">
      <c r="A111" s="30"/>
      <c r="B111" s="30"/>
      <c r="C111" s="30"/>
      <c r="D111" s="30"/>
      <c r="E111" s="30"/>
      <c r="F111" s="30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22.95" customHeight="1">
      <c r="A112" s="30"/>
      <c r="B112" s="30"/>
      <c r="C112" s="30"/>
      <c r="D112" s="30"/>
      <c r="E112" s="30"/>
      <c r="F112" s="30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22.95" customHeight="1">
      <c r="A113" s="30"/>
      <c r="B113" s="30"/>
      <c r="C113" s="30"/>
      <c r="D113" s="30"/>
      <c r="E113" s="30"/>
      <c r="F113" s="30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22.95" customHeight="1">
      <c r="A114" s="30"/>
      <c r="B114" s="30"/>
      <c r="C114" s="30"/>
      <c r="D114" s="30"/>
      <c r="E114" s="30"/>
      <c r="F114" s="30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22.95" customHeight="1">
      <c r="A115" s="30"/>
      <c r="B115" s="30"/>
      <c r="C115" s="30"/>
      <c r="D115" s="30"/>
      <c r="E115" s="30"/>
      <c r="F115" s="30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22.95" customHeight="1">
      <c r="A116" s="30"/>
      <c r="B116" s="30"/>
      <c r="C116" s="30"/>
      <c r="D116" s="30"/>
      <c r="E116" s="30"/>
      <c r="F116" s="30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22.95" customHeight="1">
      <c r="A117" s="30"/>
      <c r="B117" s="30"/>
      <c r="C117" s="30"/>
      <c r="D117" s="30"/>
      <c r="E117" s="30"/>
      <c r="F117" s="30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22.95" customHeight="1">
      <c r="A118" s="30"/>
      <c r="B118" s="30"/>
      <c r="C118" s="30"/>
      <c r="D118" s="30"/>
      <c r="E118" s="30"/>
      <c r="F118" s="30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22.95" customHeight="1">
      <c r="A119" s="30"/>
      <c r="B119" s="30"/>
      <c r="C119" s="30"/>
      <c r="D119" s="30"/>
      <c r="E119" s="30"/>
      <c r="F119" s="30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22.95" customHeight="1">
      <c r="A120" s="30"/>
      <c r="B120" s="30"/>
      <c r="C120" s="30"/>
      <c r="D120" s="30"/>
      <c r="E120" s="30"/>
      <c r="F120" s="30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22.95" customHeight="1">
      <c r="A121" s="30"/>
      <c r="B121" s="30"/>
      <c r="C121" s="30"/>
      <c r="D121" s="30"/>
      <c r="E121" s="30"/>
      <c r="F121" s="30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F121">
    <cfRule type="expression" dxfId="3" priority="1">
      <formula>MOD(ROW(),2)=0</formula>
    </cfRule>
  </conditionalFormatting>
  <hyperlinks>
    <hyperlink ref="X1" location="'Cover'!A1" display="Cover" xr:uid="{00000000-0004-0000-1700-000000000000}"/>
    <hyperlink ref="Y1" location="'Index'!A1" display="Index" xr:uid="{00000000-0004-0000-1700-000001000000}"/>
    <hyperlink ref="Z1" location="'Executive Dashboard'!A1" display="Dashboard" xr:uid="{00000000-0004-0000-1700-000002000000}"/>
    <hyperlink ref="AA1" location="'Live KPI Overview'!A1" display="Analytics" xr:uid="{00000000-0004-0000-17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A19"/>
  <sheetViews>
    <sheetView showGridLines="0" workbookViewId="0">
      <selection activeCell="D5" sqref="D5:H7"/>
    </sheetView>
  </sheetViews>
  <sheetFormatPr defaultRowHeight="13.8"/>
  <cols>
    <col min="1" max="1" width="37" style="35" customWidth="1"/>
    <col min="2" max="2" width="18" style="35" customWidth="1"/>
    <col min="3" max="3" width="6" style="35" customWidth="1"/>
    <col min="4" max="4" width="50" style="35" customWidth="1"/>
    <col min="5" max="23" width="8.796875" style="35"/>
    <col min="24" max="27" width="13" style="35" customWidth="1"/>
    <col min="28" max="16384" width="8.796875" style="35"/>
  </cols>
  <sheetData>
    <row r="1" spans="1:27" ht="25.95" customHeight="1">
      <c r="A1" s="89" t="s">
        <v>312</v>
      </c>
      <c r="B1" s="90"/>
      <c r="C1" s="90"/>
      <c r="D1" s="90"/>
      <c r="E1" s="90"/>
      <c r="F1" s="90"/>
      <c r="G1" s="90"/>
      <c r="H1" s="90"/>
      <c r="I1" s="34"/>
      <c r="J1" s="34"/>
      <c r="K1" s="34"/>
      <c r="L1" s="34"/>
      <c r="M1" s="34"/>
      <c r="N1" s="34"/>
      <c r="X1" s="36" t="s">
        <v>24</v>
      </c>
      <c r="Y1" s="36" t="s">
        <v>35</v>
      </c>
      <c r="Z1" s="36" t="s">
        <v>25</v>
      </c>
      <c r="AA1" s="36" t="s">
        <v>26</v>
      </c>
    </row>
    <row r="2" spans="1:27" ht="25.95" customHeight="1">
      <c r="A2" s="90"/>
      <c r="B2" s="90"/>
      <c r="C2" s="90"/>
      <c r="D2" s="90"/>
      <c r="E2" s="90"/>
      <c r="F2" s="90"/>
      <c r="G2" s="90"/>
      <c r="H2" s="90"/>
      <c r="I2" s="34"/>
      <c r="J2" s="34"/>
      <c r="K2" s="34"/>
      <c r="L2" s="34"/>
      <c r="M2" s="34"/>
      <c r="N2" s="34"/>
    </row>
    <row r="3" spans="1:27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27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27" ht="28.95" customHeight="1">
      <c r="A5" s="37" t="s">
        <v>313</v>
      </c>
      <c r="B5" s="38">
        <f>COUNTA('Control Library'!A2:A121)</f>
        <v>0</v>
      </c>
      <c r="C5" s="37"/>
      <c r="D5" s="91" t="s">
        <v>448</v>
      </c>
      <c r="E5" s="90"/>
      <c r="F5" s="90"/>
      <c r="G5" s="90"/>
      <c r="H5" s="90"/>
      <c r="I5" s="37"/>
      <c r="J5" s="37"/>
      <c r="K5" s="37"/>
      <c r="L5" s="37"/>
      <c r="M5" s="37"/>
      <c r="N5" s="37"/>
    </row>
    <row r="6" spans="1:27" ht="28.95" customHeight="1">
      <c r="A6" s="37" t="s">
        <v>314</v>
      </c>
      <c r="B6" s="38">
        <f>COUNTIF('Control Library'!G2:G121,"Applicable")</f>
        <v>0</v>
      </c>
      <c r="C6" s="37"/>
      <c r="D6" s="90"/>
      <c r="E6" s="92"/>
      <c r="F6" s="92"/>
      <c r="G6" s="92"/>
      <c r="H6" s="90"/>
      <c r="I6" s="37"/>
      <c r="J6" s="37"/>
      <c r="K6" s="37"/>
      <c r="L6" s="37"/>
      <c r="M6" s="37"/>
      <c r="N6" s="37"/>
    </row>
    <row r="7" spans="1:27" ht="28.95" customHeight="1">
      <c r="A7" s="37" t="s">
        <v>315</v>
      </c>
      <c r="B7" s="38">
        <f>COUNTIFS('Control Library'!G2:G121,"Applicable",'Control Library'!A2:A121,"&lt;&gt;")</f>
        <v>0</v>
      </c>
      <c r="C7" s="37"/>
      <c r="D7" s="90"/>
      <c r="E7" s="90"/>
      <c r="F7" s="90"/>
      <c r="G7" s="90"/>
      <c r="H7" s="90"/>
      <c r="I7" s="37"/>
      <c r="J7" s="37"/>
      <c r="K7" s="37"/>
      <c r="L7" s="37"/>
      <c r="M7" s="37"/>
      <c r="N7" s="37"/>
    </row>
    <row r="8" spans="1:27" ht="28.95" customHeight="1">
      <c r="A8" s="37" t="s">
        <v>316</v>
      </c>
      <c r="B8" s="38">
        <f>COUNTIF(Assessments!E2:E121,"Compliant")+COUNTIF(Assessments!E2:E121,"Partially Compliant")+COUNTIF(Assessments!E2:E121,"Non-Compliant")</f>
        <v>0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</row>
    <row r="9" spans="1:27" ht="28.95" customHeight="1">
      <c r="A9" s="37" t="s">
        <v>317</v>
      </c>
      <c r="B9" s="38">
        <f>COUNTIF(Assessments!E2:E121,"Compliant")</f>
        <v>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</row>
    <row r="10" spans="1:27" ht="28.95" customHeight="1">
      <c r="A10" s="37" t="s">
        <v>318</v>
      </c>
      <c r="B10" s="39" t="str">
        <f>IF(B8=0,"N/A",B9/B8)</f>
        <v>N/A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</row>
    <row r="11" spans="1:27" ht="28.95" customHeight="1">
      <c r="A11" s="37" t="s">
        <v>319</v>
      </c>
      <c r="B11" s="38">
        <f>COUNTA('Risk Register'!A2:A121)</f>
        <v>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</row>
    <row r="12" spans="1:27" ht="28.95" customHeight="1">
      <c r="A12" s="37" t="s">
        <v>320</v>
      </c>
      <c r="B12" s="38">
        <f>COUNTIF('Risk Register'!K2:K121,"High")+COUNTIF('Risk Register'!K2:K121,"Critical")</f>
        <v>0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</row>
    <row r="13" spans="1:27" ht="28.95" customHeight="1">
      <c r="A13" s="37" t="s">
        <v>321</v>
      </c>
      <c r="B13" s="38">
        <f ca="1">COUNTIF('Corrective Actions'!J2:J121,"&gt;0")</f>
        <v>0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</row>
    <row r="14" spans="1:27" ht="28.95" customHeight="1">
      <c r="A14" s="37" t="s">
        <v>322</v>
      </c>
      <c r="B14" s="38">
        <f>COUNTIF('Audit Findings'!I2:I121,"Open")</f>
        <v>0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</row>
    <row r="15" spans="1:27" ht="28.95" customHeight="1">
      <c r="A15" s="37" t="s">
        <v>323</v>
      </c>
      <c r="B15" s="38">
        <f ca="1">COUNTIF('Compliance Exceptions'!G2:G121,"EXPIRED")</f>
        <v>0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</row>
    <row r="16" spans="1:27" ht="28.95" customHeight="1">
      <c r="A16" s="37" t="s">
        <v>324</v>
      </c>
      <c r="B16" s="38">
        <f>COUNTIF('Framework Library'!H2:H121,"Unverified")</f>
        <v>8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</row>
    <row r="17" spans="1:14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</row>
    <row r="18" spans="1:14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spans="1:14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</row>
  </sheetData>
  <mergeCells count="2">
    <mergeCell ref="A1:H2"/>
    <mergeCell ref="D5:H7"/>
  </mergeCells>
  <conditionalFormatting sqref="A5:B16">
    <cfRule type="expression" dxfId="2" priority="1">
      <formula>MOD(ROW(),2)=0</formula>
    </cfRule>
  </conditionalFormatting>
  <hyperlinks>
    <hyperlink ref="X1" location="'Cover'!A1" display="Cover" xr:uid="{00000000-0004-0000-1900-000000000000}"/>
    <hyperlink ref="Y1" location="'Index'!A1" display="Index" xr:uid="{00000000-0004-0000-1900-000001000000}"/>
    <hyperlink ref="Z1" location="'Executive Dashboard'!A1" display="Dashboard" xr:uid="{00000000-0004-0000-1900-000002000000}"/>
    <hyperlink ref="AA1" location="'Live KPI Overview'!A1" display="Analytics" xr:uid="{00000000-0004-0000-1900-000003000000}"/>
  </hyperlinks>
  <pageMargins left="0.7" right="0.7" top="0.75" bottom="0.75" header="0.3" footer="0.3"/>
  <headerFooter>
    <oddFooter>&amp;LMohammed Nawaf&amp;CCybersecurity GRC Intelligence Suite&amp;RPage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A150"/>
  <sheetViews>
    <sheetView showGridLines="0" workbookViewId="0">
      <pane ySplit="1" topLeftCell="A2" activePane="bottomLeft" state="frozen"/>
      <selection pane="bottomLeft" activeCell="C7" sqref="C7"/>
    </sheetView>
  </sheetViews>
  <sheetFormatPr defaultRowHeight="13.8"/>
  <cols>
    <col min="1" max="1" width="33" customWidth="1"/>
    <col min="2" max="2" width="83.09765625" customWidth="1"/>
    <col min="3" max="3" width="27" customWidth="1"/>
    <col min="4" max="4" width="25" customWidth="1"/>
    <col min="5" max="16" width="20" customWidth="1"/>
    <col min="24" max="27" width="13" customWidth="1"/>
  </cols>
  <sheetData>
    <row r="1" spans="1:27" ht="34.049999999999997" customHeight="1">
      <c r="A1" s="40" t="s">
        <v>325</v>
      </c>
      <c r="B1" s="40" t="s">
        <v>326</v>
      </c>
      <c r="C1" s="10"/>
      <c r="D1" s="10"/>
      <c r="E1" s="10"/>
      <c r="F1" s="10"/>
      <c r="G1" s="10"/>
      <c r="H1" s="10"/>
      <c r="I1" s="5"/>
      <c r="J1" s="5"/>
      <c r="K1" s="5"/>
      <c r="L1" s="5"/>
      <c r="M1" s="5"/>
      <c r="N1" s="5"/>
      <c r="O1" s="1"/>
      <c r="P1" s="1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30" customHeight="1">
      <c r="A2" s="41" t="s">
        <v>327</v>
      </c>
      <c r="B2" s="41" t="s">
        <v>328</v>
      </c>
      <c r="C2" s="11"/>
      <c r="D2" s="11"/>
      <c r="E2" s="11"/>
      <c r="F2" s="11"/>
      <c r="G2" s="11"/>
      <c r="H2" s="11"/>
      <c r="I2" s="2"/>
      <c r="J2" s="2"/>
      <c r="K2" s="2"/>
      <c r="L2" s="2"/>
      <c r="M2" s="2"/>
      <c r="N2" s="2"/>
      <c r="O2" s="2"/>
      <c r="P2" s="2"/>
    </row>
    <row r="3" spans="1:27" ht="30" customHeight="1">
      <c r="A3" s="41" t="s">
        <v>329</v>
      </c>
      <c r="B3" s="41" t="s">
        <v>330</v>
      </c>
      <c r="C3" s="11"/>
      <c r="D3" s="11"/>
      <c r="E3" s="11"/>
      <c r="F3" s="11"/>
      <c r="G3" s="11"/>
      <c r="H3" s="11"/>
      <c r="I3" s="2"/>
      <c r="J3" s="2"/>
      <c r="K3" s="2"/>
      <c r="L3" s="2"/>
      <c r="M3" s="2"/>
      <c r="N3" s="2"/>
      <c r="O3" s="2"/>
      <c r="P3" s="2"/>
    </row>
    <row r="4" spans="1:27" ht="30" customHeight="1">
      <c r="A4" s="41" t="s">
        <v>331</v>
      </c>
      <c r="B4" s="41" t="s">
        <v>332</v>
      </c>
      <c r="C4" s="11"/>
      <c r="D4" s="11"/>
      <c r="E4" s="11"/>
      <c r="F4" s="11"/>
      <c r="G4" s="11"/>
      <c r="H4" s="11"/>
      <c r="I4" s="2"/>
      <c r="J4" s="2"/>
      <c r="K4" s="2"/>
      <c r="L4" s="2"/>
      <c r="M4" s="2"/>
      <c r="N4" s="2"/>
      <c r="O4" s="2"/>
      <c r="P4" s="2"/>
    </row>
    <row r="5" spans="1:27" ht="30" customHeight="1">
      <c r="A5" s="41" t="s">
        <v>333</v>
      </c>
      <c r="B5" s="41" t="s">
        <v>334</v>
      </c>
      <c r="C5" s="11"/>
      <c r="D5" s="11"/>
      <c r="E5" s="11"/>
      <c r="F5" s="11"/>
      <c r="G5" s="11"/>
      <c r="H5" s="11"/>
      <c r="I5" s="2"/>
      <c r="J5" s="2"/>
      <c r="K5" s="2"/>
      <c r="L5" s="2"/>
      <c r="M5" s="2"/>
      <c r="N5" s="2"/>
      <c r="O5" s="2"/>
      <c r="P5" s="2"/>
    </row>
    <row r="6" spans="1:27" ht="30" customHeight="1">
      <c r="A6" s="41" t="s">
        <v>335</v>
      </c>
      <c r="B6" s="41" t="s">
        <v>336</v>
      </c>
      <c r="C6" s="11"/>
      <c r="D6" s="11"/>
      <c r="E6" s="11"/>
      <c r="F6" s="11"/>
      <c r="G6" s="11"/>
      <c r="H6" s="11"/>
      <c r="I6" s="2"/>
      <c r="J6" s="2"/>
      <c r="K6" s="2"/>
      <c r="L6" s="2"/>
      <c r="M6" s="2"/>
      <c r="N6" s="2"/>
      <c r="O6" s="2"/>
      <c r="P6" s="2"/>
    </row>
    <row r="7" spans="1:27" ht="30" customHeight="1">
      <c r="A7" s="41" t="s">
        <v>337</v>
      </c>
      <c r="B7" s="41" t="s">
        <v>338</v>
      </c>
      <c r="C7" s="11"/>
      <c r="D7" s="11"/>
      <c r="E7" s="11"/>
      <c r="F7" s="11"/>
      <c r="G7" s="11"/>
      <c r="H7" s="11"/>
      <c r="I7" s="2"/>
      <c r="J7" s="2"/>
      <c r="K7" s="2"/>
      <c r="L7" s="2"/>
      <c r="M7" s="2"/>
      <c r="N7" s="2"/>
      <c r="O7" s="2"/>
      <c r="P7" s="2"/>
    </row>
    <row r="8" spans="1:27" ht="30" customHeight="1">
      <c r="A8" s="41" t="s">
        <v>339</v>
      </c>
      <c r="B8" s="41" t="s">
        <v>340</v>
      </c>
      <c r="C8" s="11"/>
      <c r="D8" s="11"/>
      <c r="E8" s="11"/>
      <c r="F8" s="11"/>
      <c r="G8" s="11"/>
      <c r="H8" s="11"/>
      <c r="I8" s="2"/>
      <c r="J8" s="2"/>
      <c r="K8" s="2"/>
      <c r="L8" s="2"/>
      <c r="M8" s="2"/>
      <c r="N8" s="2"/>
      <c r="O8" s="2"/>
      <c r="P8" s="2"/>
    </row>
    <row r="9" spans="1:27" ht="30" customHeight="1">
      <c r="A9" s="41" t="s">
        <v>341</v>
      </c>
      <c r="B9" s="41" t="s">
        <v>342</v>
      </c>
      <c r="C9" s="11"/>
      <c r="D9" s="11"/>
      <c r="E9" s="11"/>
      <c r="F9" s="11"/>
      <c r="G9" s="11"/>
      <c r="H9" s="11"/>
      <c r="I9" s="2"/>
      <c r="J9" s="2"/>
      <c r="K9" s="2"/>
      <c r="L9" s="2"/>
      <c r="M9" s="2"/>
      <c r="N9" s="2"/>
      <c r="O9" s="2"/>
      <c r="P9" s="2"/>
    </row>
    <row r="10" spans="1:27" ht="30" customHeight="1">
      <c r="A10" s="41" t="s">
        <v>343</v>
      </c>
      <c r="B10" s="41" t="s">
        <v>344</v>
      </c>
      <c r="C10" s="11"/>
      <c r="D10" s="11"/>
      <c r="E10" s="11"/>
      <c r="F10" s="11"/>
      <c r="G10" s="11"/>
      <c r="H10" s="11"/>
      <c r="I10" s="2"/>
      <c r="J10" s="2"/>
      <c r="K10" s="2"/>
      <c r="L10" s="2"/>
      <c r="M10" s="2"/>
      <c r="N10" s="2"/>
      <c r="O10" s="2"/>
      <c r="P10" s="2"/>
    </row>
    <row r="11" spans="1:27" ht="30" customHeight="1">
      <c r="A11" s="41" t="s">
        <v>345</v>
      </c>
      <c r="B11" s="41" t="s">
        <v>346</v>
      </c>
      <c r="C11" s="11"/>
      <c r="D11" s="11"/>
      <c r="E11" s="11"/>
      <c r="F11" s="11"/>
      <c r="G11" s="11"/>
      <c r="H11" s="11"/>
      <c r="I11" s="2"/>
      <c r="J11" s="2"/>
      <c r="K11" s="2"/>
      <c r="L11" s="2"/>
      <c r="M11" s="2"/>
      <c r="N11" s="2"/>
      <c r="O11" s="2"/>
      <c r="P11" s="2"/>
    </row>
    <row r="12" spans="1:27" ht="30" customHeight="1">
      <c r="A12" s="41" t="s">
        <v>347</v>
      </c>
      <c r="B12" s="41" t="s">
        <v>348</v>
      </c>
      <c r="C12" s="11"/>
      <c r="D12" s="11"/>
      <c r="E12" s="11"/>
      <c r="F12" s="11"/>
      <c r="G12" s="11"/>
      <c r="H12" s="11"/>
      <c r="I12" s="2"/>
      <c r="J12" s="2"/>
      <c r="K12" s="2"/>
      <c r="L12" s="2"/>
      <c r="M12" s="2"/>
      <c r="N12" s="2"/>
      <c r="O12" s="2"/>
      <c r="P12" s="2"/>
    </row>
    <row r="13" spans="1:27" ht="22.95" customHeight="1">
      <c r="A13" s="11"/>
      <c r="B13" s="11"/>
      <c r="C13" s="11"/>
      <c r="D13" s="11"/>
      <c r="E13" s="11"/>
      <c r="F13" s="11"/>
      <c r="G13" s="11"/>
      <c r="H13" s="11"/>
      <c r="I13" s="2"/>
      <c r="J13" s="2"/>
      <c r="K13" s="2"/>
      <c r="L13" s="2"/>
      <c r="M13" s="2"/>
      <c r="N13" s="2"/>
      <c r="O13" s="2"/>
      <c r="P13" s="2"/>
    </row>
    <row r="14" spans="1:27" ht="22.95" customHeight="1">
      <c r="A14" s="11"/>
      <c r="B14" s="11"/>
      <c r="C14" s="11"/>
      <c r="D14" s="11"/>
      <c r="E14" s="11"/>
      <c r="F14" s="11"/>
      <c r="G14" s="11"/>
      <c r="H14" s="11"/>
      <c r="I14" s="2"/>
      <c r="J14" s="2"/>
      <c r="K14" s="2"/>
      <c r="L14" s="2"/>
      <c r="M14" s="2"/>
      <c r="N14" s="2"/>
      <c r="O14" s="2"/>
      <c r="P14" s="2"/>
    </row>
    <row r="15" spans="1:27" ht="22.95" customHeight="1">
      <c r="A15" s="11"/>
      <c r="B15" s="11"/>
      <c r="C15" s="11"/>
      <c r="D15" s="11"/>
      <c r="E15" s="11"/>
      <c r="F15" s="11"/>
      <c r="G15" s="11"/>
      <c r="H15" s="11"/>
      <c r="I15" s="2"/>
      <c r="J15" s="2"/>
      <c r="K15" s="2"/>
      <c r="L15" s="2"/>
      <c r="M15" s="2"/>
      <c r="N15" s="2"/>
      <c r="O15" s="2"/>
      <c r="P15" s="2"/>
    </row>
    <row r="16" spans="1:27" ht="22.9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2.9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2.9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2.9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2.9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2.9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2.9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2.9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2.9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2.9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2.9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2.9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22.9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22.9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22.9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22.9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ht="22.9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22.9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22.9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22.9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22.9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22.9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22.9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22.9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22.9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22.9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22.9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22.9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t="22.9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22.9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t="22.9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22.9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22.9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ht="22.9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22.9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22.9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t="22.9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ht="22.9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ht="22.9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ht="22.9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ht="22.9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t="22.9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ht="22.9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ht="22.9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ht="22.9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ht="22.9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ht="22.9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t="22.9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ht="22.9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ht="22.9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ht="22.9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ht="22.9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ht="22.9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22.9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ht="22.9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ht="22.9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ht="22.9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ht="22.9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ht="22.9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ht="22.9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ht="22.9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ht="22.9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ht="22.9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ht="22.9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ht="22.9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ht="22.9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t="22.9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ht="22.9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ht="22.9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ht="22.9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ht="22.9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ht="22.9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ht="22.9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ht="22.9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ht="22.9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ht="22.9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ht="22.9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ht="22.9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ht="22.9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ht="22.9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ht="22.9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ht="22.9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ht="22.9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ht="22.9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ht="22.9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22.9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22.9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22.9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22.9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22.9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22.9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22.9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22.9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22.9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22.9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22.9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22.9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22.9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22.9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22.9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22.9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22.9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22.9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22.9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22.9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22.9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22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2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22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22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2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22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2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2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2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2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22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22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2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22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22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22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2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2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22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22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2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22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22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22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22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22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22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22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22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</sheetData>
  <conditionalFormatting sqref="A2:B12">
    <cfRule type="expression" dxfId="1" priority="1">
      <formula>MOD(ROW(),2)=0</formula>
    </cfRule>
  </conditionalFormatting>
  <hyperlinks>
    <hyperlink ref="X1" location="'Cover'!A1" display="Cover" xr:uid="{00000000-0004-0000-1A00-000000000000}"/>
    <hyperlink ref="Y1" location="'Index'!A1" display="Index" xr:uid="{00000000-0004-0000-1A00-000001000000}"/>
    <hyperlink ref="Z1" location="'Executive Dashboard'!A1" display="Dashboard" xr:uid="{00000000-0004-0000-1A00-000002000000}"/>
    <hyperlink ref="AA1" location="'Live KPI Overview'!A1" display="Analytics" xr:uid="{00000000-0004-0000-1A00-000003000000}"/>
  </hyperlinks>
  <pageMargins left="0.7" right="0.7" top="0.75" bottom="0.75" header="0.3" footer="0.3"/>
  <headerFooter>
    <oddFooter>&amp;LMohammed Nawaf&amp;CCybersecurity GRC Intelligence Suite&amp;RPage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A40"/>
  <sheetViews>
    <sheetView showGridLines="0" zoomScale="94" workbookViewId="0">
      <pane ySplit="6" topLeftCell="A20" activePane="bottomLeft" state="frozen"/>
      <selection pane="bottomLeft" activeCell="B26" sqref="B26"/>
    </sheetView>
  </sheetViews>
  <sheetFormatPr defaultRowHeight="15"/>
  <cols>
    <col min="1" max="1" width="5" style="22" customWidth="1"/>
    <col min="2" max="2" width="70.8984375" style="22" customWidth="1"/>
    <col min="3" max="3" width="43" style="22" customWidth="1"/>
    <col min="4" max="4" width="37" style="22" customWidth="1"/>
    <col min="5" max="5" width="29" style="22" customWidth="1"/>
    <col min="6" max="6" width="25" style="22" customWidth="1"/>
    <col min="7" max="23" width="8.796875" style="22"/>
    <col min="24" max="27" width="13" style="22" customWidth="1"/>
    <col min="28" max="16384" width="8.796875" style="22"/>
  </cols>
  <sheetData>
    <row r="1" spans="1:27" ht="27" customHeigh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X1" s="43" t="s">
        <v>24</v>
      </c>
      <c r="Y1" s="43" t="s">
        <v>35</v>
      </c>
      <c r="Z1" s="43" t="s">
        <v>25</v>
      </c>
      <c r="AA1" s="43" t="s">
        <v>26</v>
      </c>
    </row>
    <row r="2" spans="1:27" ht="34.049999999999997" customHeight="1">
      <c r="A2" s="42"/>
      <c r="B2" s="44" t="s">
        <v>15</v>
      </c>
      <c r="C2" s="44"/>
      <c r="D2" s="44"/>
      <c r="E2" s="44"/>
      <c r="F2" s="44"/>
      <c r="G2" s="42"/>
      <c r="H2" s="42"/>
      <c r="I2" s="42"/>
      <c r="J2" s="42"/>
      <c r="K2" s="42"/>
      <c r="L2" s="42"/>
      <c r="M2" s="42"/>
    </row>
    <row r="3" spans="1:27" ht="34.049999999999997" customHeight="1">
      <c r="A3" s="42"/>
      <c r="B3" s="44"/>
      <c r="C3" s="44"/>
      <c r="D3" s="44"/>
      <c r="E3" s="44"/>
      <c r="F3" s="44"/>
      <c r="G3" s="42"/>
      <c r="H3" s="42"/>
      <c r="I3" s="42"/>
      <c r="J3" s="42"/>
      <c r="K3" s="42"/>
      <c r="L3" s="42"/>
      <c r="M3" s="42"/>
    </row>
    <row r="4" spans="1:27" ht="27" customHeight="1">
      <c r="A4" s="42"/>
      <c r="B4" s="45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spans="1:27" ht="27" customHeight="1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27" ht="34.049999999999997" customHeight="1">
      <c r="A6" s="42"/>
      <c r="B6" s="46" t="s">
        <v>349</v>
      </c>
      <c r="C6" s="46" t="s">
        <v>350</v>
      </c>
      <c r="D6" s="46" t="s">
        <v>351</v>
      </c>
      <c r="E6" s="46" t="s">
        <v>352</v>
      </c>
      <c r="F6" s="46" t="s">
        <v>353</v>
      </c>
      <c r="G6" s="42"/>
      <c r="H6" s="42"/>
      <c r="I6" s="42"/>
      <c r="J6" s="42"/>
      <c r="K6" s="42"/>
      <c r="L6" s="42"/>
      <c r="M6" s="42"/>
    </row>
    <row r="7" spans="1:27" ht="28.95" customHeight="1">
      <c r="A7" s="42"/>
      <c r="B7" s="30" t="s">
        <v>354</v>
      </c>
      <c r="C7" s="30" t="s">
        <v>355</v>
      </c>
      <c r="D7" s="30" t="s">
        <v>356</v>
      </c>
      <c r="E7" s="30" t="s">
        <v>357</v>
      </c>
      <c r="F7" s="30" t="s">
        <v>358</v>
      </c>
      <c r="G7" s="42"/>
      <c r="H7" s="42"/>
      <c r="I7" s="42"/>
      <c r="J7" s="42"/>
      <c r="K7" s="42"/>
      <c r="L7" s="42"/>
      <c r="M7" s="42"/>
    </row>
    <row r="8" spans="1:27" ht="28.95" customHeight="1">
      <c r="A8" s="42"/>
      <c r="B8" s="30" t="s">
        <v>354</v>
      </c>
      <c r="C8" s="30" t="s">
        <v>359</v>
      </c>
      <c r="D8" s="30" t="s">
        <v>360</v>
      </c>
      <c r="E8" s="30" t="s">
        <v>361</v>
      </c>
      <c r="F8" s="30" t="s">
        <v>358</v>
      </c>
      <c r="G8" s="42"/>
      <c r="H8" s="42"/>
      <c r="I8" s="42"/>
      <c r="J8" s="42"/>
      <c r="K8" s="42"/>
      <c r="L8" s="42"/>
      <c r="M8" s="42"/>
    </row>
    <row r="9" spans="1:27" ht="28.95" customHeight="1">
      <c r="A9" s="42"/>
      <c r="B9" s="30" t="s">
        <v>354</v>
      </c>
      <c r="C9" s="30" t="s">
        <v>362</v>
      </c>
      <c r="D9" s="30" t="s">
        <v>363</v>
      </c>
      <c r="E9" s="30" t="s">
        <v>364</v>
      </c>
      <c r="F9" s="30" t="s">
        <v>358</v>
      </c>
      <c r="G9" s="42"/>
      <c r="H9" s="42"/>
      <c r="I9" s="42"/>
      <c r="J9" s="42"/>
      <c r="K9" s="42"/>
      <c r="L9" s="42"/>
      <c r="M9" s="42"/>
    </row>
    <row r="10" spans="1:27" ht="28.95" customHeight="1">
      <c r="A10" s="42"/>
      <c r="B10" s="30" t="s">
        <v>365</v>
      </c>
      <c r="C10" s="30" t="s">
        <v>366</v>
      </c>
      <c r="D10" s="30" t="s">
        <v>367</v>
      </c>
      <c r="E10" s="30" t="s">
        <v>368</v>
      </c>
      <c r="F10" s="30" t="s">
        <v>358</v>
      </c>
      <c r="G10" s="42"/>
      <c r="H10" s="42"/>
      <c r="I10" s="42"/>
      <c r="J10" s="42"/>
      <c r="K10" s="42"/>
      <c r="L10" s="42"/>
      <c r="M10" s="42"/>
    </row>
    <row r="11" spans="1:27" ht="28.95" customHeight="1">
      <c r="A11" s="42"/>
      <c r="B11" s="30" t="s">
        <v>369</v>
      </c>
      <c r="C11" s="30" t="s">
        <v>370</v>
      </c>
      <c r="D11" s="30" t="s">
        <v>371</v>
      </c>
      <c r="E11" s="30" t="s">
        <v>123</v>
      </c>
      <c r="F11" s="30" t="s">
        <v>358</v>
      </c>
      <c r="G11" s="42"/>
      <c r="H11" s="42"/>
      <c r="I11" s="42"/>
      <c r="J11" s="42"/>
      <c r="K11" s="42"/>
      <c r="L11" s="42"/>
      <c r="M11" s="42"/>
    </row>
    <row r="12" spans="1:27" ht="28.95" customHeight="1">
      <c r="A12" s="42"/>
      <c r="B12" s="30" t="s">
        <v>372</v>
      </c>
      <c r="C12" s="30" t="s">
        <v>126</v>
      </c>
      <c r="D12" s="30" t="s">
        <v>373</v>
      </c>
      <c r="E12" s="30" t="s">
        <v>374</v>
      </c>
      <c r="F12" s="30" t="s">
        <v>375</v>
      </c>
      <c r="G12" s="42"/>
      <c r="H12" s="42"/>
      <c r="I12" s="42"/>
      <c r="J12" s="42"/>
      <c r="K12" s="42"/>
      <c r="L12" s="42"/>
      <c r="M12" s="42"/>
    </row>
    <row r="13" spans="1:27" ht="28.95" customHeight="1">
      <c r="A13" s="42"/>
      <c r="B13" s="30" t="s">
        <v>376</v>
      </c>
      <c r="C13" s="30" t="s">
        <v>377</v>
      </c>
      <c r="D13" s="30" t="s">
        <v>378</v>
      </c>
      <c r="E13" s="30" t="s">
        <v>379</v>
      </c>
      <c r="F13" s="30" t="s">
        <v>380</v>
      </c>
      <c r="G13" s="42"/>
      <c r="H13" s="42"/>
      <c r="I13" s="42"/>
      <c r="J13" s="42"/>
      <c r="K13" s="42"/>
      <c r="L13" s="42"/>
      <c r="M13" s="42"/>
    </row>
    <row r="14" spans="1:27" ht="28.95" customHeight="1">
      <c r="A14" s="42"/>
      <c r="B14" s="30" t="s">
        <v>381</v>
      </c>
      <c r="C14" s="30" t="s">
        <v>141</v>
      </c>
      <c r="D14" s="30" t="s">
        <v>382</v>
      </c>
      <c r="E14" s="30" t="s">
        <v>383</v>
      </c>
      <c r="F14" s="30" t="s">
        <v>380</v>
      </c>
      <c r="G14" s="42"/>
      <c r="H14" s="42"/>
      <c r="I14" s="42"/>
      <c r="J14" s="42"/>
      <c r="K14" s="42"/>
      <c r="L14" s="42"/>
      <c r="M14" s="42"/>
    </row>
    <row r="15" spans="1:27" ht="28.95" customHeight="1">
      <c r="A15" s="42"/>
      <c r="B15" s="30" t="s">
        <v>384</v>
      </c>
      <c r="C15" s="30" t="s">
        <v>385</v>
      </c>
      <c r="D15" s="30" t="s">
        <v>386</v>
      </c>
      <c r="E15" s="30" t="s">
        <v>361</v>
      </c>
      <c r="F15" s="30" t="s">
        <v>380</v>
      </c>
      <c r="G15" s="42"/>
      <c r="H15" s="42"/>
      <c r="I15" s="42"/>
      <c r="J15" s="42"/>
      <c r="K15" s="42"/>
      <c r="L15" s="42"/>
      <c r="M15" s="42"/>
    </row>
    <row r="16" spans="1:27" ht="28.95" customHeight="1">
      <c r="A16" s="42"/>
      <c r="B16" s="30"/>
      <c r="C16" s="30"/>
      <c r="D16" s="30"/>
      <c r="E16" s="30"/>
      <c r="F16" s="30"/>
      <c r="G16" s="42"/>
      <c r="H16" s="42"/>
      <c r="I16" s="42"/>
      <c r="J16" s="42"/>
      <c r="K16" s="42"/>
      <c r="L16" s="42"/>
      <c r="M16" s="42"/>
    </row>
    <row r="17" spans="1:13" ht="28.95" customHeight="1">
      <c r="A17" s="42"/>
      <c r="B17" s="30"/>
      <c r="C17" s="30"/>
      <c r="D17" s="30"/>
      <c r="E17" s="30"/>
      <c r="F17" s="30"/>
      <c r="G17" s="42"/>
      <c r="H17" s="42"/>
      <c r="I17" s="42"/>
      <c r="J17" s="42"/>
      <c r="K17" s="42"/>
      <c r="L17" s="42"/>
      <c r="M17" s="42"/>
    </row>
    <row r="18" spans="1:13" ht="28.95" customHeight="1">
      <c r="A18" s="42"/>
      <c r="B18" s="47" t="s">
        <v>387</v>
      </c>
      <c r="C18" s="47"/>
      <c r="D18" s="47"/>
      <c r="E18" s="47"/>
      <c r="F18" s="47"/>
      <c r="G18" s="42"/>
      <c r="H18" s="42"/>
      <c r="I18" s="42"/>
      <c r="J18" s="42"/>
      <c r="K18" s="42"/>
      <c r="L18" s="42"/>
      <c r="M18" s="42"/>
    </row>
    <row r="19" spans="1:13" ht="28.95" customHeight="1">
      <c r="A19" s="42"/>
      <c r="B19" s="30"/>
      <c r="C19" s="30"/>
      <c r="D19" s="30"/>
      <c r="E19" s="30"/>
      <c r="F19" s="30"/>
      <c r="G19" s="42"/>
      <c r="H19" s="42"/>
      <c r="I19" s="42"/>
      <c r="J19" s="42"/>
      <c r="K19" s="42"/>
      <c r="L19" s="42"/>
      <c r="M19" s="42"/>
    </row>
    <row r="20" spans="1:13" ht="28.95" customHeight="1">
      <c r="A20" s="42"/>
      <c r="B20" s="30" t="s">
        <v>388</v>
      </c>
      <c r="C20" s="30"/>
      <c r="D20" s="30"/>
      <c r="E20" s="30"/>
      <c r="F20" s="30"/>
      <c r="G20" s="42"/>
      <c r="H20" s="42"/>
      <c r="I20" s="42"/>
      <c r="J20" s="42"/>
      <c r="K20" s="42"/>
      <c r="L20" s="42"/>
      <c r="M20" s="42"/>
    </row>
    <row r="21" spans="1:13" ht="28.95" customHeight="1">
      <c r="A21" s="42"/>
      <c r="B21" s="30" t="s">
        <v>389</v>
      </c>
      <c r="C21" s="30"/>
      <c r="D21" s="30"/>
      <c r="E21" s="30"/>
      <c r="F21" s="30"/>
      <c r="G21" s="42"/>
      <c r="H21" s="42"/>
      <c r="I21" s="42"/>
      <c r="J21" s="42"/>
      <c r="K21" s="42"/>
      <c r="L21" s="42"/>
      <c r="M21" s="42"/>
    </row>
    <row r="22" spans="1:13" ht="28.95" customHeight="1">
      <c r="A22" s="42"/>
      <c r="B22" s="30" t="s">
        <v>390</v>
      </c>
      <c r="C22" s="30"/>
      <c r="D22" s="30"/>
      <c r="E22" s="30"/>
      <c r="F22" s="30"/>
      <c r="G22" s="42"/>
      <c r="H22" s="42"/>
      <c r="I22" s="42"/>
      <c r="J22" s="42"/>
      <c r="K22" s="42"/>
      <c r="L22" s="42"/>
      <c r="M22" s="42"/>
    </row>
    <row r="23" spans="1:13" ht="28.95" customHeight="1">
      <c r="A23" s="42"/>
      <c r="B23" s="30" t="s">
        <v>391</v>
      </c>
      <c r="C23" s="30"/>
      <c r="D23" s="30"/>
      <c r="E23" s="30"/>
      <c r="F23" s="30"/>
      <c r="G23" s="42"/>
      <c r="H23" s="42"/>
      <c r="I23" s="42"/>
      <c r="J23" s="42"/>
      <c r="K23" s="42"/>
      <c r="L23" s="42"/>
      <c r="M23" s="42"/>
    </row>
    <row r="24" spans="1:13" ht="28.95" customHeight="1">
      <c r="A24" s="42"/>
      <c r="B24" s="30" t="s">
        <v>392</v>
      </c>
      <c r="C24" s="30"/>
      <c r="D24" s="30"/>
      <c r="E24" s="30"/>
      <c r="F24" s="30"/>
      <c r="G24" s="42"/>
      <c r="H24" s="42"/>
      <c r="I24" s="42"/>
      <c r="J24" s="42"/>
      <c r="K24" s="42"/>
      <c r="L24" s="42"/>
      <c r="M24" s="42"/>
    </row>
    <row r="25" spans="1:13" ht="28.95" customHeight="1">
      <c r="A25" s="42"/>
      <c r="B25" s="30"/>
      <c r="C25" s="30"/>
      <c r="D25" s="30"/>
      <c r="E25" s="30"/>
      <c r="F25" s="30"/>
      <c r="G25" s="42"/>
      <c r="H25" s="42"/>
      <c r="I25" s="42"/>
      <c r="J25" s="42"/>
      <c r="K25" s="42"/>
      <c r="L25" s="42"/>
      <c r="M25" s="42"/>
    </row>
    <row r="26" spans="1:13" ht="28.95" customHeight="1">
      <c r="A26" s="42"/>
      <c r="B26" s="30"/>
      <c r="C26" s="30"/>
      <c r="D26" s="30"/>
      <c r="E26" s="30"/>
      <c r="F26" s="30"/>
      <c r="G26" s="42"/>
      <c r="H26" s="42"/>
      <c r="I26" s="42"/>
      <c r="J26" s="42"/>
      <c r="K26" s="42"/>
      <c r="L26" s="42"/>
      <c r="M26" s="42"/>
    </row>
    <row r="27" spans="1:13" ht="28.95" customHeight="1">
      <c r="A27" s="42"/>
      <c r="B27" s="30"/>
      <c r="C27" s="30"/>
      <c r="D27" s="30"/>
      <c r="E27" s="30"/>
      <c r="F27" s="30"/>
      <c r="G27" s="42"/>
      <c r="H27" s="42"/>
      <c r="I27" s="42"/>
      <c r="J27" s="42"/>
      <c r="K27" s="42"/>
      <c r="L27" s="42"/>
      <c r="M27" s="42"/>
    </row>
    <row r="28" spans="1:13" ht="27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ht="27" customHeight="1">
      <c r="A29" s="48"/>
      <c r="B29" s="48"/>
      <c r="C29" s="48"/>
      <c r="D29" s="48"/>
      <c r="E29" s="48"/>
      <c r="F29" s="48"/>
      <c r="G29" s="48"/>
      <c r="H29" s="48"/>
    </row>
    <row r="30" spans="1:13" ht="27" customHeight="1">
      <c r="A30" s="48"/>
      <c r="B30" s="48"/>
      <c r="C30" s="48"/>
      <c r="D30" s="48"/>
      <c r="E30" s="48"/>
      <c r="F30" s="48"/>
      <c r="G30" s="48"/>
      <c r="H30" s="48"/>
    </row>
    <row r="31" spans="1:13" ht="27" customHeight="1">
      <c r="A31" s="48"/>
      <c r="B31" s="48"/>
      <c r="C31" s="48"/>
      <c r="D31" s="48"/>
      <c r="E31" s="48"/>
      <c r="F31" s="48"/>
      <c r="G31" s="48"/>
      <c r="H31" s="48"/>
    </row>
    <row r="32" spans="1:13" ht="27" customHeight="1">
      <c r="A32" s="48"/>
      <c r="B32" s="48"/>
      <c r="C32" s="48"/>
      <c r="D32" s="48"/>
      <c r="E32" s="48"/>
      <c r="F32" s="48"/>
      <c r="G32" s="48"/>
      <c r="H32" s="48"/>
    </row>
    <row r="33" spans="1:8" ht="27" customHeight="1">
      <c r="A33" s="48"/>
      <c r="B33" s="48"/>
      <c r="C33" s="48"/>
      <c r="D33" s="48"/>
      <c r="E33" s="48"/>
      <c r="F33" s="48"/>
      <c r="G33" s="48"/>
      <c r="H33" s="48"/>
    </row>
    <row r="34" spans="1:8" ht="27" customHeight="1">
      <c r="A34" s="48"/>
      <c r="B34" s="48"/>
      <c r="C34" s="48"/>
      <c r="D34" s="48"/>
      <c r="E34" s="48"/>
      <c r="F34" s="48"/>
      <c r="G34" s="48"/>
      <c r="H34" s="48"/>
    </row>
    <row r="35" spans="1:8" ht="27" customHeight="1">
      <c r="A35" s="48"/>
      <c r="B35" s="48"/>
      <c r="C35" s="48"/>
      <c r="D35" s="48"/>
      <c r="E35" s="48"/>
      <c r="F35" s="48"/>
      <c r="G35" s="48"/>
      <c r="H35" s="48"/>
    </row>
    <row r="36" spans="1:8" ht="27" customHeight="1">
      <c r="A36" s="48"/>
      <c r="B36" s="48"/>
      <c r="C36" s="48"/>
      <c r="D36" s="48"/>
      <c r="E36" s="48"/>
      <c r="F36" s="48"/>
      <c r="G36" s="48"/>
      <c r="H36" s="48"/>
    </row>
    <row r="37" spans="1:8" ht="27" customHeight="1">
      <c r="A37" s="48"/>
      <c r="B37" s="48"/>
      <c r="C37" s="48"/>
      <c r="D37" s="48"/>
      <c r="E37" s="48"/>
      <c r="F37" s="48"/>
      <c r="G37" s="48"/>
      <c r="H37" s="48"/>
    </row>
    <row r="38" spans="1:8" ht="27" customHeight="1">
      <c r="A38" s="48"/>
      <c r="B38" s="48"/>
      <c r="C38" s="48"/>
      <c r="D38" s="48"/>
      <c r="E38" s="48"/>
      <c r="F38" s="48"/>
      <c r="G38" s="48"/>
      <c r="H38" s="48"/>
    </row>
    <row r="39" spans="1:8" ht="27" customHeight="1">
      <c r="A39" s="48"/>
      <c r="B39" s="48"/>
      <c r="C39" s="48"/>
      <c r="D39" s="48"/>
      <c r="E39" s="48"/>
      <c r="F39" s="48"/>
      <c r="G39" s="48"/>
      <c r="H39" s="48"/>
    </row>
    <row r="40" spans="1:8" ht="27" customHeight="1">
      <c r="A40" s="48"/>
      <c r="B40" s="48"/>
      <c r="C40" s="48"/>
      <c r="D40" s="48"/>
      <c r="E40" s="48"/>
      <c r="F40" s="48"/>
      <c r="G40" s="48"/>
      <c r="H40" s="48"/>
    </row>
  </sheetData>
  <conditionalFormatting sqref="B7:F27">
    <cfRule type="expression" dxfId="0" priority="1">
      <formula>MOD(ROW(),2)=0</formula>
    </cfRule>
  </conditionalFormatting>
  <hyperlinks>
    <hyperlink ref="X1" location="'Cover'!A1" display="Cover" xr:uid="{00000000-0004-0000-1B00-000000000000}"/>
    <hyperlink ref="Y1" location="'Index'!A1" display="Index" xr:uid="{00000000-0004-0000-1B00-000001000000}"/>
    <hyperlink ref="Z1" location="'Executive Dashboard'!A1" display="Dashboard" xr:uid="{00000000-0004-0000-1B00-000002000000}"/>
    <hyperlink ref="AA1" location="'Live KPI Overview'!A1" display="Analytics" xr:uid="{00000000-0004-0000-1B00-000003000000}"/>
  </hyperlinks>
  <pageMargins left="0.7" right="0.7" top="0.75" bottom="0.75" header="0.3" footer="0.3"/>
  <headerFooter>
    <oddFooter>&amp;LMohammed Nawaf&amp;CCybersecurity GRC Intelligence Suite&amp;RPage &amp;P of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A45"/>
  <sheetViews>
    <sheetView showGridLines="0" zoomScale="71" workbookViewId="0">
      <pane ySplit="3" topLeftCell="A4" activePane="bottomLeft" state="frozen"/>
      <selection pane="bottomLeft" activeCell="AJ38" sqref="A1:XFD1048576"/>
    </sheetView>
  </sheetViews>
  <sheetFormatPr defaultRowHeight="20.399999999999999"/>
  <cols>
    <col min="1" max="1" width="32" style="26" customWidth="1"/>
    <col min="2" max="2" width="15" style="26" customWidth="1"/>
    <col min="3" max="14" width="12" style="26" customWidth="1"/>
    <col min="15" max="23" width="8.796875" style="26"/>
    <col min="24" max="27" width="13" style="26" customWidth="1"/>
    <col min="28" max="16384" width="8.796875" style="26"/>
  </cols>
  <sheetData>
    <row r="1" spans="1:27" ht="27" customHeight="1">
      <c r="A1" s="49" t="s">
        <v>393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X1" s="50" t="s">
        <v>24</v>
      </c>
      <c r="Y1" s="50" t="s">
        <v>35</v>
      </c>
      <c r="Z1" s="50" t="s">
        <v>25</v>
      </c>
      <c r="AA1" s="50" t="s">
        <v>26</v>
      </c>
    </row>
    <row r="2" spans="1:27" ht="27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27" ht="21">
      <c r="A3" s="51" t="s">
        <v>394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1:27" ht="2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27" ht="28.95" customHeight="1">
      <c r="A5" s="53" t="s">
        <v>395</v>
      </c>
      <c r="B5" s="53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</row>
    <row r="6" spans="1:27" ht="21">
      <c r="A6" s="52" t="s">
        <v>396</v>
      </c>
      <c r="B6" s="54">
        <f>COUNTIF(Assessments!$E$2:$E$2000,A6)</f>
        <v>0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</row>
    <row r="7" spans="1:27" ht="21">
      <c r="A7" s="52" t="s">
        <v>397</v>
      </c>
      <c r="B7" s="54">
        <f>COUNTIF(Assessments!$E$2:$E$2000,A7)</f>
        <v>0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</row>
    <row r="8" spans="1:27" ht="21">
      <c r="A8" s="52" t="s">
        <v>398</v>
      </c>
      <c r="B8" s="54">
        <f>COUNTIF(Assessments!$E$2:$E$2000,A8)</f>
        <v>0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</row>
    <row r="9" spans="1:27" ht="21">
      <c r="A9" s="52" t="s">
        <v>399</v>
      </c>
      <c r="B9" s="54">
        <f>COUNTIF(Assessments!$E$2:$E$2000,A9)</f>
        <v>0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</row>
    <row r="10" spans="1:27" ht="21">
      <c r="A10" s="52" t="s">
        <v>400</v>
      </c>
      <c r="B10" s="54">
        <f>COUNTIF(Assessments!$E$2:$E$2000,A10)</f>
        <v>0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</row>
    <row r="11" spans="1:27" ht="21">
      <c r="A11" s="52" t="s">
        <v>401</v>
      </c>
      <c r="B11" s="54">
        <f>COUNTIF(Assessments!$E$2:$E$2000,A11)</f>
        <v>0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</row>
    <row r="12" spans="1:27" ht="21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</row>
    <row r="13" spans="1:27" ht="2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</row>
    <row r="14" spans="1:27" ht="2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</row>
    <row r="15" spans="1:27" ht="28.95" customHeight="1">
      <c r="A15" s="53" t="s">
        <v>402</v>
      </c>
      <c r="B15" s="53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</row>
    <row r="16" spans="1:27" ht="21">
      <c r="A16" s="52" t="s">
        <v>403</v>
      </c>
      <c r="B16" s="54">
        <f>COUNTIF('Evidence Register'!$H$2:$H$2000,A16)</f>
        <v>0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</row>
    <row r="17" spans="1:14" ht="21">
      <c r="A17" s="52" t="s">
        <v>404</v>
      </c>
      <c r="B17" s="54">
        <f>COUNTIF('Evidence Register'!$H$2:$H$2000,A17)</f>
        <v>0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</row>
    <row r="18" spans="1:14" ht="21">
      <c r="A18" s="52" t="s">
        <v>405</v>
      </c>
      <c r="B18" s="54">
        <f>COUNTIF('Evidence Register'!$H$2:$H$2000,A18)</f>
        <v>0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</row>
    <row r="19" spans="1:14" ht="21">
      <c r="A19" s="52" t="s">
        <v>406</v>
      </c>
      <c r="B19" s="54">
        <f>COUNTIF('Evidence Register'!$H$2:$H$2000,A19)</f>
        <v>0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</row>
    <row r="20" spans="1:14" ht="2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</row>
    <row r="21" spans="1:14" ht="2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</row>
    <row r="22" spans="1:14" ht="2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</row>
    <row r="23" spans="1:14" ht="2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</row>
    <row r="24" spans="1:14" ht="2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</row>
    <row r="25" spans="1:14" ht="28.95" customHeight="1">
      <c r="A25" s="53" t="s">
        <v>407</v>
      </c>
      <c r="B25" s="53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</row>
    <row r="26" spans="1:14" ht="21">
      <c r="A26" s="52" t="s">
        <v>408</v>
      </c>
      <c r="B26" s="54">
        <f>COUNTIF('Framework Library'!$G$2:$G$2000,A26)</f>
        <v>0</v>
      </c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</row>
    <row r="27" spans="1:14" ht="21">
      <c r="A27" s="52" t="s">
        <v>401</v>
      </c>
      <c r="B27" s="54">
        <f>COUNTIF('Framework Library'!$G$2:$G$2000,A27)</f>
        <v>0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</row>
    <row r="28" spans="1:14" ht="21">
      <c r="A28" s="52" t="s">
        <v>106</v>
      </c>
      <c r="B28" s="54">
        <f>COUNTIF('Framework Library'!$G$2:$G$2000,A28)</f>
        <v>3</v>
      </c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</row>
    <row r="29" spans="1:14" ht="2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</row>
    <row r="30" spans="1:14" ht="2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</row>
    <row r="31" spans="1:14" ht="2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</row>
    <row r="32" spans="1:14" ht="2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</row>
    <row r="33" spans="1:14" ht="2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</row>
    <row r="34" spans="1:14" ht="2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</row>
    <row r="35" spans="1:14" ht="28.95" customHeight="1">
      <c r="A35" s="53" t="s">
        <v>409</v>
      </c>
      <c r="B35" s="53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</row>
    <row r="36" spans="1:14" ht="21">
      <c r="A36" s="52" t="s">
        <v>403</v>
      </c>
      <c r="B36" s="54">
        <f>COUNTIF('Framework Library'!$H$2:$H$2000,A36)</f>
        <v>0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</row>
    <row r="37" spans="1:14" ht="21">
      <c r="A37" s="52" t="s">
        <v>107</v>
      </c>
      <c r="B37" s="54">
        <f>COUNTIF('Framework Library'!$H$2:$H$2000,A37)</f>
        <v>8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</row>
    <row r="38" spans="1:14" ht="21">
      <c r="A38" s="52" t="s">
        <v>410</v>
      </c>
      <c r="B38" s="54">
        <f>COUNTIF('Framework Library'!$H$2:$H$2000,A38)</f>
        <v>0</v>
      </c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</row>
    <row r="39" spans="1:14" ht="2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14" ht="2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</row>
    <row r="41" spans="1:14" ht="2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</row>
    <row r="42" spans="1:14" ht="2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</row>
    <row r="43" spans="1:14" ht="2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</row>
    <row r="44" spans="1:14" ht="2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</row>
    <row r="45" spans="1:14" ht="2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</row>
  </sheetData>
  <conditionalFormatting sqref="B6:B11">
    <cfRule type="dataBar" priority="1">
      <dataBar>
        <cfvo type="min"/>
        <cfvo type="max"/>
        <color rgb="FF55565A"/>
      </dataBar>
    </cfRule>
  </conditionalFormatting>
  <conditionalFormatting sqref="B16:B19">
    <cfRule type="dataBar" priority="2">
      <dataBar>
        <cfvo type="min"/>
        <cfvo type="max"/>
        <color rgb="FF55565A"/>
      </dataBar>
    </cfRule>
  </conditionalFormatting>
  <conditionalFormatting sqref="B26:B28">
    <cfRule type="dataBar" priority="3">
      <dataBar>
        <cfvo type="min"/>
        <cfvo type="max"/>
        <color rgb="FF55565A"/>
      </dataBar>
    </cfRule>
  </conditionalFormatting>
  <conditionalFormatting sqref="B36:B38">
    <cfRule type="dataBar" priority="4">
      <dataBar>
        <cfvo type="min"/>
        <cfvo type="max"/>
        <color rgb="FF55565A"/>
      </dataBar>
    </cfRule>
  </conditionalFormatting>
  <hyperlinks>
    <hyperlink ref="X1" location="'Cover'!A1" display="Cover" xr:uid="{00000000-0004-0000-1C00-000000000000}"/>
    <hyperlink ref="Y1" location="'Index'!A1" display="Index" xr:uid="{00000000-0004-0000-1C00-000001000000}"/>
    <hyperlink ref="Z1" location="'Executive Dashboard'!A1" display="Dashboard" xr:uid="{00000000-0004-0000-1C00-000002000000}"/>
    <hyperlink ref="AA1" location="'Live KPI Overview'!A1" display="Analytics" xr:uid="{00000000-0004-0000-1C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A45"/>
  <sheetViews>
    <sheetView showGridLines="0" zoomScale="85" zoomScaleNormal="85" workbookViewId="0">
      <pane ySplit="3" topLeftCell="A4" activePane="bottomLeft" state="frozen"/>
      <selection pane="bottomLeft" sqref="A1:XFD1048576"/>
    </sheetView>
  </sheetViews>
  <sheetFormatPr defaultRowHeight="13.8"/>
  <cols>
    <col min="1" max="1" width="32" customWidth="1"/>
    <col min="2" max="2" width="15" customWidth="1"/>
    <col min="3" max="14" width="12" customWidth="1"/>
    <col min="24" max="27" width="13" customWidth="1"/>
  </cols>
  <sheetData>
    <row r="1" spans="1:27" ht="27" customHeight="1">
      <c r="A1" s="14" t="s">
        <v>411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7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27">
      <c r="A3" s="16" t="s">
        <v>394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27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27" ht="28.95" customHeight="1">
      <c r="A5" s="17" t="s">
        <v>412</v>
      </c>
      <c r="B5" s="17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27">
      <c r="A6" s="11" t="s">
        <v>329</v>
      </c>
      <c r="B6" s="12">
        <f>COUNTIF('Risk Register'!$K$2:$K$2000,A6)</f>
        <v>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27">
      <c r="A7" s="11" t="s">
        <v>331</v>
      </c>
      <c r="B7" s="12">
        <f>COUNTIF('Risk Register'!$K$2:$K$2000,A7)</f>
        <v>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27">
      <c r="A8" s="11" t="s">
        <v>333</v>
      </c>
      <c r="B8" s="12">
        <f>COUNTIF('Risk Register'!$K$2:$K$2000,A8)</f>
        <v>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27">
      <c r="A9" s="11" t="s">
        <v>335</v>
      </c>
      <c r="B9" s="12">
        <f>COUNTIF('Risk Register'!$K$2:$K$2000,A9)</f>
        <v>0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27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27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27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27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27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27" ht="28.95" customHeight="1">
      <c r="A15" s="17" t="s">
        <v>413</v>
      </c>
      <c r="B15" s="17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27">
      <c r="A16" s="11" t="s">
        <v>414</v>
      </c>
      <c r="B16" s="12">
        <f>COUNTIF('Risk Register'!$C$2:$C$2000,A16)</f>
        <v>0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>
      <c r="A17" s="11" t="s">
        <v>415</v>
      </c>
      <c r="B17" s="12">
        <f>COUNTIF('Risk Register'!$C$2:$C$2000,A17)</f>
        <v>0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>
      <c r="A18" s="11" t="s">
        <v>416</v>
      </c>
      <c r="B18" s="12">
        <f>COUNTIF('Risk Register'!$C$2:$C$2000,A18)</f>
        <v>0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>
      <c r="A19" s="11" t="s">
        <v>417</v>
      </c>
      <c r="B19" s="12">
        <f>COUNTIF('Risk Register'!$C$2:$C$2000,A19)</f>
        <v>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>
      <c r="A20" s="11" t="s">
        <v>418</v>
      </c>
      <c r="B20" s="12">
        <f>COUNTIF('Risk Register'!$C$2:$C$2000,A20)</f>
        <v>0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>
      <c r="A21" s="11" t="s">
        <v>419</v>
      </c>
      <c r="B21" s="12">
        <f>COUNTIF('Risk Register'!$C$2:$C$2000,A21)</f>
        <v>0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14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 ht="28.95" customHeight="1">
      <c r="A25" s="17" t="s">
        <v>420</v>
      </c>
      <c r="B25" s="17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>
      <c r="A26" s="11" t="s">
        <v>421</v>
      </c>
      <c r="B26" s="12">
        <f>COUNTIF('Risk Register'!$L$2:$L$2000,A26)</f>
        <v>0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>
      <c r="A27" s="11" t="s">
        <v>422</v>
      </c>
      <c r="B27" s="12">
        <f>COUNTIF('Risk Register'!$L$2:$L$2000,A27)</f>
        <v>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>
      <c r="A28" s="11" t="s">
        <v>423</v>
      </c>
      <c r="B28" s="12">
        <f>COUNTIF('Risk Register'!$L$2:$L$2000,A28)</f>
        <v>0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>
      <c r="A29" s="11" t="s">
        <v>424</v>
      </c>
      <c r="B29" s="12">
        <f>COUNTIF('Risk Register'!$L$2:$L$2000,A29)</f>
        <v>0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14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1:1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1:14" ht="28.95" customHeight="1">
      <c r="A35" s="17" t="s">
        <v>425</v>
      </c>
      <c r="B35" s="17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>
      <c r="A36" s="11" t="s">
        <v>329</v>
      </c>
      <c r="B36" s="12">
        <f>COUNTIF('Audit Findings'!$F$2:$F$2000,A36)</f>
        <v>0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1:14">
      <c r="A37" s="11" t="s">
        <v>331</v>
      </c>
      <c r="B37" s="12">
        <f>COUNTIF('Audit Findings'!$F$2:$F$2000,A37)</f>
        <v>0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>
      <c r="A38" s="11" t="s">
        <v>333</v>
      </c>
      <c r="B38" s="12">
        <f>COUNTIF('Audit Findings'!$F$2:$F$2000,A38)</f>
        <v>0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>
      <c r="A39" s="11" t="s">
        <v>335</v>
      </c>
      <c r="B39" s="12">
        <f>COUNTIF('Audit Findings'!$F$2:$F$2000,A39)</f>
        <v>0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4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spans="1:1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spans="1:14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</sheetData>
  <conditionalFormatting sqref="B6:B9">
    <cfRule type="dataBar" priority="1">
      <dataBar>
        <cfvo type="min"/>
        <cfvo type="max"/>
        <color rgb="FF55565A"/>
      </dataBar>
    </cfRule>
  </conditionalFormatting>
  <conditionalFormatting sqref="B16:B21">
    <cfRule type="dataBar" priority="2">
      <dataBar>
        <cfvo type="min"/>
        <cfvo type="max"/>
        <color rgb="FF55565A"/>
      </dataBar>
    </cfRule>
  </conditionalFormatting>
  <conditionalFormatting sqref="B26:B29">
    <cfRule type="dataBar" priority="3">
      <dataBar>
        <cfvo type="min"/>
        <cfvo type="max"/>
        <color rgb="FF55565A"/>
      </dataBar>
    </cfRule>
  </conditionalFormatting>
  <conditionalFormatting sqref="B36:B39">
    <cfRule type="dataBar" priority="4">
      <dataBar>
        <cfvo type="min"/>
        <cfvo type="max"/>
        <color rgb="FF55565A"/>
      </dataBar>
    </cfRule>
  </conditionalFormatting>
  <hyperlinks>
    <hyperlink ref="X1" location="'Cover'!A1" display="Cover" xr:uid="{00000000-0004-0000-1D00-000000000000}"/>
    <hyperlink ref="Y1" location="'Index'!A1" display="Index" xr:uid="{00000000-0004-0000-1D00-000001000000}"/>
    <hyperlink ref="Z1" location="'Executive Dashboard'!A1" display="Dashboard" xr:uid="{00000000-0004-0000-1D00-000002000000}"/>
    <hyperlink ref="AA1" location="'Live KPI Overview'!A1" display="Analytics" xr:uid="{00000000-0004-0000-1D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A45"/>
  <sheetViews>
    <sheetView showGridLines="0" zoomScale="55" zoomScaleNormal="55" workbookViewId="0">
      <pane ySplit="3" topLeftCell="A4" activePane="bottomLeft" state="frozen"/>
      <selection pane="bottomLeft" sqref="A1:XFD1048576"/>
    </sheetView>
  </sheetViews>
  <sheetFormatPr defaultRowHeight="13.8"/>
  <cols>
    <col min="1" max="1" width="32" customWidth="1"/>
    <col min="2" max="2" width="15" customWidth="1"/>
    <col min="3" max="14" width="12" customWidth="1"/>
    <col min="24" max="27" width="13" customWidth="1"/>
  </cols>
  <sheetData>
    <row r="1" spans="1:27" ht="27" customHeight="1">
      <c r="A1" s="14" t="s">
        <v>426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7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27">
      <c r="A3" s="16" t="s">
        <v>394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27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27" ht="28.95" customHeight="1">
      <c r="A5" s="17" t="s">
        <v>427</v>
      </c>
      <c r="B5" s="17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27">
      <c r="A6" s="11" t="s">
        <v>428</v>
      </c>
      <c r="B6" s="12">
        <f>COUNTIF('Corrective Actions'!$G$2:$G$2000,A6)</f>
        <v>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27">
      <c r="A7" s="11" t="s">
        <v>429</v>
      </c>
      <c r="B7" s="12">
        <f>COUNTIF('Corrective Actions'!$G$2:$G$2000,A7)</f>
        <v>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27">
      <c r="A8" s="11" t="s">
        <v>430</v>
      </c>
      <c r="B8" s="12">
        <f>COUNTIF('Corrective Actions'!$G$2:$G$2000,A8)</f>
        <v>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27">
      <c r="A9" s="11" t="s">
        <v>431</v>
      </c>
      <c r="B9" s="12">
        <f>COUNTIF('Corrective Actions'!$G$2:$G$2000,A9)</f>
        <v>0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27">
      <c r="A10" s="11" t="s">
        <v>432</v>
      </c>
      <c r="B10" s="12">
        <f>COUNTIF('Corrective Actions'!$G$2:$G$2000,A10)</f>
        <v>0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27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27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27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27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27" ht="28.95" customHeight="1">
      <c r="A15" s="17" t="s">
        <v>433</v>
      </c>
      <c r="B15" s="17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27">
      <c r="A16" s="11" t="s">
        <v>31</v>
      </c>
      <c r="B16" s="12">
        <f>COUNTIF('Audit Findings'!$I$2:$I$2000,A16)</f>
        <v>0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>
      <c r="A17" s="11" t="s">
        <v>429</v>
      </c>
      <c r="B17" s="12">
        <f>COUNTIF('Audit Findings'!$I$2:$I$2000,A17)</f>
        <v>0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>
      <c r="A18" s="11" t="s">
        <v>434</v>
      </c>
      <c r="B18" s="12">
        <f>COUNTIF('Audit Findings'!$I$2:$I$2000,A18)</f>
        <v>0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>
      <c r="A19" s="11" t="s">
        <v>431</v>
      </c>
      <c r="B19" s="12">
        <f>COUNTIF('Audit Findings'!$I$2:$I$2000,A19)</f>
        <v>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14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 ht="28.95" customHeight="1">
      <c r="A25" s="17" t="s">
        <v>435</v>
      </c>
      <c r="B25" s="17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>
      <c r="A26" s="11" t="s">
        <v>329</v>
      </c>
      <c r="B26" s="12">
        <f>COUNTIF('Third Parties'!$D$2:$D$2000,A26)</f>
        <v>0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>
      <c r="A27" s="11" t="s">
        <v>436</v>
      </c>
      <c r="B27" s="12">
        <f>COUNTIF('Third Parties'!$D$2:$D$2000,A27)</f>
        <v>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>
      <c r="A28" s="11" t="s">
        <v>333</v>
      </c>
      <c r="B28" s="12">
        <f>COUNTIF('Third Parties'!$D$2:$D$2000,A28)</f>
        <v>0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>
      <c r="A29" s="11" t="s">
        <v>335</v>
      </c>
      <c r="B29" s="12">
        <f>COUNTIF('Third Parties'!$D$2:$D$2000,A29)</f>
        <v>0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14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1:1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1:14" ht="28.95" customHeight="1">
      <c r="A35" s="17" t="s">
        <v>437</v>
      </c>
      <c r="B35" s="17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>
      <c r="A36" s="11" t="s">
        <v>399</v>
      </c>
      <c r="B36" s="12">
        <f>COUNTIF('Third Parties'!$G$2:$G$2000,A36)</f>
        <v>0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1:14">
      <c r="A37" s="11" t="s">
        <v>429</v>
      </c>
      <c r="B37" s="12">
        <f>COUNTIF('Third Parties'!$G$2:$G$2000,A37)</f>
        <v>0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>
      <c r="A38" s="11" t="s">
        <v>430</v>
      </c>
      <c r="B38" s="12">
        <f>COUNTIF('Third Parties'!$G$2:$G$2000,A38)</f>
        <v>0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>
      <c r="A39" s="11" t="s">
        <v>432</v>
      </c>
      <c r="B39" s="12">
        <f>COUNTIF('Third Parties'!$G$2:$G$2000,A39)</f>
        <v>0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4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spans="1:1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spans="1:14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</sheetData>
  <conditionalFormatting sqref="B6:B10">
    <cfRule type="dataBar" priority="1">
      <dataBar>
        <cfvo type="min"/>
        <cfvo type="max"/>
        <color rgb="FF55565A"/>
      </dataBar>
    </cfRule>
  </conditionalFormatting>
  <conditionalFormatting sqref="B16:B19">
    <cfRule type="dataBar" priority="2">
      <dataBar>
        <cfvo type="min"/>
        <cfvo type="max"/>
        <color rgb="FF55565A"/>
      </dataBar>
    </cfRule>
  </conditionalFormatting>
  <conditionalFormatting sqref="B26:B29">
    <cfRule type="dataBar" priority="3">
      <dataBar>
        <cfvo type="min"/>
        <cfvo type="max"/>
        <color rgb="FF55565A"/>
      </dataBar>
    </cfRule>
  </conditionalFormatting>
  <conditionalFormatting sqref="B36:B39">
    <cfRule type="dataBar" priority="4">
      <dataBar>
        <cfvo type="min"/>
        <cfvo type="max"/>
        <color rgb="FF55565A"/>
      </dataBar>
    </cfRule>
  </conditionalFormatting>
  <hyperlinks>
    <hyperlink ref="X1" location="'Cover'!A1" display="Cover" xr:uid="{00000000-0004-0000-1E00-000000000000}"/>
    <hyperlink ref="Y1" location="'Index'!A1" display="Index" xr:uid="{00000000-0004-0000-1E00-000001000000}"/>
    <hyperlink ref="Z1" location="'Executive Dashboard'!A1" display="Dashboard" xr:uid="{00000000-0004-0000-1E00-000002000000}"/>
    <hyperlink ref="AA1" location="'Live KPI Overview'!A1" display="Analytics" xr:uid="{00000000-0004-0000-1E00-000003000000}"/>
  </hyperlinks>
  <pageMargins left="0.7" right="0.7" top="0.75" bottom="0.75" header="0.3" footer="0.3"/>
  <headerFooter>
    <oddFooter>&amp;LMohammed Nawaf&amp;CCybersecurity GRC Intelligence Suite&amp;RPage &amp;P of &amp;N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A32"/>
  <sheetViews>
    <sheetView showGridLines="0" topLeftCell="A2" workbookViewId="0">
      <selection activeCell="A19" sqref="A19"/>
    </sheetView>
  </sheetViews>
  <sheetFormatPr defaultRowHeight="13.8"/>
  <cols>
    <col min="1" max="1" width="42" customWidth="1"/>
    <col min="2" max="2" width="19" customWidth="1"/>
    <col min="24" max="27" width="13" customWidth="1"/>
  </cols>
  <sheetData>
    <row r="1" spans="1:27" ht="25.05" customHeight="1">
      <c r="A1" s="14" t="s">
        <v>438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6"/>
      <c r="N1" s="6"/>
      <c r="X1" s="21" t="s">
        <v>24</v>
      </c>
      <c r="Y1" s="21" t="s">
        <v>35</v>
      </c>
      <c r="Z1" s="21" t="s">
        <v>25</v>
      </c>
      <c r="AA1" s="21" t="s">
        <v>26</v>
      </c>
    </row>
    <row r="2" spans="1:27" ht="25.0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27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27" ht="30" customHeight="1">
      <c r="A4" s="13" t="s">
        <v>439</v>
      </c>
      <c r="B4" s="13" t="s">
        <v>440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27" ht="25.95" customHeight="1">
      <c r="A5" s="11" t="s">
        <v>441</v>
      </c>
      <c r="B5" s="18">
        <f>COUNTA(Assessments!A2:A2000)</f>
        <v>0</v>
      </c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27" ht="25.95" customHeight="1">
      <c r="A6" s="11" t="s">
        <v>317</v>
      </c>
      <c r="B6" s="18">
        <f>COUNTIF(Assessments!E2:E2000,"Compliant")</f>
        <v>0</v>
      </c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27" ht="25.95" customHeight="1">
      <c r="A7" s="11" t="s">
        <v>442</v>
      </c>
      <c r="B7" s="19">
        <f>IFERROR(COUNTIF(Assessments!E2:E2000,"Compliant")/COUNTA(Assessments!A2:A2000),0)</f>
        <v>0</v>
      </c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27" ht="25.95" customHeight="1">
      <c r="A8" s="11" t="s">
        <v>443</v>
      </c>
      <c r="B8" s="18">
        <f>COUNTA('Risk Register'!A2:A2000)</f>
        <v>0</v>
      </c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27" ht="25.95" customHeight="1">
      <c r="A9" s="11" t="s">
        <v>444</v>
      </c>
      <c r="B9" s="18">
        <f>COUNTIF('Risk Register'!K2:K2000,"Critical")</f>
        <v>0</v>
      </c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27" ht="25.95" customHeight="1">
      <c r="A10" s="11" t="s">
        <v>322</v>
      </c>
      <c r="B10" s="18">
        <f>COUNTIF('Audit Findings'!I2:I2000,"Open")</f>
        <v>0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27" ht="25.95" customHeight="1">
      <c r="A11" s="11" t="s">
        <v>321</v>
      </c>
      <c r="B11" s="20">
        <f ca="1">COUNTIFS('Corrective Actions'!F2:F2000,"&lt;"&amp;TODAY(),'Corrective Actions'!F2:F2000,"&gt;0",'Corrective Actions'!G2:G2000,"&lt;&gt;Closed")</f>
        <v>0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7" ht="25.95" customHeight="1">
      <c r="A12" s="11" t="s">
        <v>445</v>
      </c>
      <c r="B12" s="18">
        <f>COUNTIF('Evidence Register'!H2:H2000,"Not Verified")</f>
        <v>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27" ht="25.95" customHeight="1">
      <c r="A13" s="11" t="s">
        <v>446</v>
      </c>
      <c r="B13" s="18">
        <f>COUNTA('Third Parties'!A2:A2000)</f>
        <v>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27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27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27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12">
      <c r="A17" s="15" t="s">
        <v>447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spans="1:1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</sheetData>
  <hyperlinks>
    <hyperlink ref="X1" location="'Cover'!A1" display="Cover" xr:uid="{00000000-0004-0000-1F00-000000000000}"/>
    <hyperlink ref="Y1" location="'Index'!A1" display="Index" xr:uid="{00000000-0004-0000-1F00-000001000000}"/>
    <hyperlink ref="Z1" location="'Executive Dashboard'!A1" display="Dashboard" xr:uid="{00000000-0004-0000-1F00-000002000000}"/>
    <hyperlink ref="AA1" location="'Live KPI Overview'!A1" display="Analytics" xr:uid="{00000000-0004-0000-1F00-000003000000}"/>
  </hyperlinks>
  <pageMargins left="0.7" right="0.7" top="0.75" bottom="0.75" header="0.3" footer="0.3"/>
  <headerFooter>
    <oddFooter>&amp;LMohammed Nawaf&amp;CCybersecurity GRC Intelligence Suite&amp;RPage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Cover</vt:lpstr>
      <vt:lpstr>Index</vt:lpstr>
      <vt:lpstr>Framework Library</vt:lpstr>
      <vt:lpstr>Regulatory Register</vt:lpstr>
      <vt:lpstr>Control Library</vt:lpstr>
      <vt:lpstr>Assessments</vt:lpstr>
      <vt:lpstr>Evidence Register</vt:lpstr>
      <vt:lpstr>Risk Register</vt:lpstr>
      <vt:lpstr>Risk Treatments</vt:lpstr>
      <vt:lpstr>Audit Findings</vt:lpstr>
      <vt:lpstr>Corrective Actions</vt:lpstr>
      <vt:lpstr>Compliance Exceptions</vt:lpstr>
      <vt:lpstr>Third Parties</vt:lpstr>
      <vt:lpstr>Privacy Governance</vt:lpstr>
      <vt:lpstr>Policies</vt:lpstr>
      <vt:lpstr>Incidents</vt:lpstr>
      <vt:lpstr>Business Continuity</vt:lpstr>
      <vt:lpstr>KPI Catalogue</vt:lpstr>
      <vt:lpstr>KPI Results</vt:lpstr>
      <vt:lpstr>Crosswalk</vt:lpstr>
      <vt:lpstr>Regulatory Review Queue</vt:lpstr>
      <vt:lpstr>Risk History</vt:lpstr>
      <vt:lpstr>Change Log</vt:lpstr>
      <vt:lpstr>QA Results</vt:lpstr>
      <vt:lpstr>Executive Dashboard</vt:lpstr>
      <vt:lpstr>Methodology</vt:lpstr>
      <vt:lpstr>Framework Navigator</vt:lpstr>
      <vt:lpstr>Compliance Analytics</vt:lpstr>
      <vt:lpstr>Risk Analytics</vt:lpstr>
      <vt:lpstr>Operations Analytics</vt:lpstr>
      <vt:lpstr>Live KPI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Cybersecurity GRC Intelligence Suite - Personal Edition</dc:title>
  <dc:subject>Cybersecurity Governance, Risk and Compliance</dc:subject>
  <dc:creator>Mohammed Nawaf</dc:creator>
  <dc:description>Mohammed Nawaf | mbnq1@outlook.com</dc:description>
  <cp:lastModifiedBy>محمد بن بن سعران</cp:lastModifiedBy>
  <cp:lastPrinted>2026-10-24T01:19:32Z</cp:lastPrinted>
  <dcterms:created xsi:type="dcterms:W3CDTF">2026-10-23T19:27:18Z</dcterms:created>
  <dcterms:modified xsi:type="dcterms:W3CDTF">2026-10-24T01:19:36Z</dcterms:modified>
</cp:coreProperties>
</file>